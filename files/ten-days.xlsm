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book.xml" ContentType="application/vnd.ms-excel.sheet.macroEnabled.main+xml"/>
  <Override PartName="/xl/drawings/drawing1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 workbookPassword="A84D" lockStructure="1"/>
  <sheets>
    <sheet xmlns:r="http://schemas.openxmlformats.org/officeDocument/2006/relationships" name="파일넣기" sheetId="1" state="visible" r:id="rId1"/>
    <sheet xmlns:r="http://schemas.openxmlformats.org/officeDocument/2006/relationships" name="결과_수납신고" sheetId="2" state="visible" r:id="rId2"/>
    <sheet xmlns:r="http://schemas.openxmlformats.org/officeDocument/2006/relationships" name="세외 수납금액" sheetId="3" state="visible" r:id="rId3"/>
    <sheet xmlns:r="http://schemas.openxmlformats.org/officeDocument/2006/relationships" name="1_나이스_공무원" sheetId="4" state="veryHidden" r:id="rId4"/>
    <sheet xmlns:r="http://schemas.openxmlformats.org/officeDocument/2006/relationships" name="2_나이스_교육공무직" sheetId="5" state="veryHidden" r:id="rId5"/>
    <sheet xmlns:r="http://schemas.openxmlformats.org/officeDocument/2006/relationships" name="3_교데통_기간제" sheetId="6" state="veryHidden" r:id="rId6"/>
    <sheet xmlns:r="http://schemas.openxmlformats.org/officeDocument/2006/relationships" name="4_교데통_기타4" sheetId="7" state="veryHidden" r:id="rId7"/>
    <sheet xmlns:r="http://schemas.openxmlformats.org/officeDocument/2006/relationships" name="5_교육청_교직원" sheetId="8" state="veryHidden" r:id="rId8"/>
    <sheet xmlns:r="http://schemas.openxmlformats.org/officeDocument/2006/relationships" name="6_교육청_교육공무직" sheetId="9" state="veryHidden" r:id="rId9"/>
    <sheet xmlns:r="http://schemas.openxmlformats.org/officeDocument/2006/relationships" name="자동인식값" sheetId="10" state="veryHidden" r:id="rId10"/>
  </sheets>
  <definedNames/>
</workbook>
</file>

<file path=xl/styles.xml><?xml version="1.0" encoding="utf-8"?>
<styleSheet xmlns="http://schemas.openxmlformats.org/spreadsheetml/2006/main">
  <numFmts count="3">
    <numFmt numFmtId="164" formatCode="yyyy-mm"/>
    <numFmt numFmtId="165" formatCode="yyyy-mm-dd"/>
    <numFmt numFmtId="166" formatCode="#,##0;[Red]-#,##0;&quot;-&quot;"/>
  </numFmts>
  <fonts count="41">
    <font>
      <name val="Carlito"/>
      <sz val="11"/>
    </font>
    <font>
      <name val="Carlito"/>
      <b val="1"/>
      <color rgb="FFFFFFFF"/>
      <sz val="16"/>
    </font>
    <font>
      <name val="Carlito"/>
      <b val="1"/>
      <color rgb="FF17365D"/>
      <sz val="12"/>
    </font>
    <font>
      <name val="Carlito"/>
      <b val="1"/>
      <color rgb="FFFFFFFF"/>
      <sz val="11"/>
    </font>
    <font>
      <name val="맑은 고딕"/>
      <b val="1"/>
      <color rgb="FFFFFFFF"/>
      <sz val="10"/>
    </font>
    <font>
      <name val="맑은 고딕"/>
      <sz val="10"/>
    </font>
    <font>
      <name val="맑은 고딕"/>
      <b val="1"/>
      <color rgb="FF17365D"/>
      <sz val="10"/>
    </font>
    <font>
      <name val="Carlito"/>
      <b val="1"/>
      <color rgb="FF7F6000"/>
      <sz val="11"/>
    </font>
    <font>
      <name val="맑은 고딕"/>
      <sz val="9"/>
    </font>
    <font>
      <name val="Carlito"/>
      <b val="1"/>
      <color rgb="FF9C0006"/>
      <sz val="11"/>
    </font>
    <font>
      <name val="Carlito"/>
      <b val="1"/>
      <color rgb="FF006100"/>
      <sz val="11"/>
    </font>
    <font>
      <name val="Carlito"/>
      <b val="1"/>
      <color rgb="FF17365D"/>
      <sz val="11"/>
    </font>
    <font>
      <name val="Carlito"/>
      <b val="1"/>
      <sz val="16"/>
    </font>
    <font>
      <name val="Carlito"/>
      <b val="1"/>
      <color rgb="FF274E13"/>
      <sz val="11"/>
    </font>
    <font>
      <name val="맑은 고딕"/>
      <b val="1"/>
      <color rgb="FF7F6000"/>
      <sz val="10"/>
    </font>
    <font>
      <name val="맑은 고딕"/>
      <b val="1"/>
      <color rgb="FF9C0006"/>
      <sz val="10"/>
    </font>
    <font>
      <name val="맑은 고딕"/>
      <b val="1"/>
      <color rgb="FF006100"/>
      <sz val="10"/>
    </font>
    <font>
      <name val="맑은 고딕"/>
      <b val="1"/>
      <sz val="10"/>
    </font>
    <font>
      <name val="맑은 고딕"/>
      <b val="1"/>
      <color rgb="FF274E13"/>
      <sz val="10"/>
    </font>
    <font>
      <name val="맑은 고딕"/>
      <b val="1"/>
      <color rgb="FFFFFFFF"/>
      <sz val="16"/>
    </font>
    <font>
      <name val="맑은 고딕"/>
      <b val="1"/>
      <color rgb="FF17365D"/>
      <sz val="12"/>
    </font>
    <font>
      <name val="맑은 고딕"/>
      <b val="1"/>
      <color rgb="FF7F6000"/>
      <sz val="11"/>
    </font>
    <font>
      <name val="맑은 고딕"/>
      <b val="1"/>
      <color rgb="FFFFFFFF"/>
      <sz val="15"/>
    </font>
    <font>
      <name val="Carlito"/>
      <b val="1"/>
      <color rgb="FFFFFFFF"/>
      <sz val="14"/>
    </font>
    <font>
      <name val="맑은 고딕"/>
      <b val="1"/>
      <color rgb="FFFFFFFF"/>
      <sz val="17"/>
    </font>
    <font>
      <name val="맑은 고딕"/>
      <b val="1"/>
      <color rgb="FF17365D"/>
      <sz val="11"/>
    </font>
    <font>
      <name val="맑은 고딕"/>
      <b val="1"/>
      <sz val="16"/>
    </font>
    <font>
      <name val="맑은 고딕"/>
      <b val="1"/>
      <color rgb="FFFFFFFF"/>
      <sz val="13"/>
    </font>
    <font>
      <name val="맑은 고딕"/>
      <b val="1"/>
      <color rgb="FFFFFFFF"/>
      <sz val="18"/>
    </font>
    <font>
      <name val="맑은 고딕"/>
      <b val="1"/>
      <color rgb="FF17365D"/>
      <sz val="14"/>
    </font>
    <font>
      <name val="맑은 고딕"/>
      <b val="1"/>
      <color rgb="FF006100"/>
      <sz val="11"/>
    </font>
    <font>
      <name val="맑은 고딕"/>
      <b val="1"/>
      <color rgb="FF9C0006"/>
      <sz val="11"/>
    </font>
    <font>
      <name val="맑은 고딕"/>
      <b val="1"/>
      <color rgb="00FFFFFF"/>
      <sz val="13"/>
    </font>
    <font>
      <name val="맑은 고딕"/>
      <color rgb="00595959"/>
      <sz val="9"/>
    </font>
    <font>
      <name val="맑은 고딕"/>
      <b val="1"/>
      <color rgb="001F4E79"/>
      <sz val="13"/>
    </font>
    <font>
      <name val="맑은 고딕"/>
      <b val="1"/>
      <color rgb="00FFFFFF"/>
      <sz val="10"/>
    </font>
    <font>
      <name val="맑은 고딕"/>
      <b val="1"/>
      <color rgb="000000FF"/>
      <sz val="10"/>
    </font>
    <font>
      <name val="맑은 고딕"/>
      <b val="1"/>
      <color rgb="001F4E79"/>
      <sz val="10"/>
    </font>
    <font>
      <name val="맑은 고딕"/>
      <b val="1"/>
      <color rgb="00833C00"/>
      <sz val="10"/>
    </font>
    <font>
      <name val="맑은 고딕"/>
      <b val="1"/>
      <color rgb="00C00000"/>
      <sz val="10"/>
    </font>
    <font>
      <name val="맑은 고딕"/>
      <b val="1"/>
      <color rgb="001F4E79"/>
      <sz val="9"/>
    </font>
  </fonts>
  <fills count="74">
    <fill>
      <patternFill/>
    </fill>
    <fill>
      <patternFill patternType="gray125"/>
    </fill>
    <fill>
      <patternFill patternType="solid">
        <fgColor rgb="FF17365D"/>
      </patternFill>
    </fill>
    <fill>
      <patternFill patternType="solid">
        <fgColor rgb="FFEAF2F8"/>
      </patternFill>
    </fill>
    <fill>
      <patternFill patternType="solid">
        <fgColor rgb="FF1F4E78"/>
      </patternFill>
    </fill>
    <fill>
      <patternFill patternType="solid">
        <fgColor rgb="FFC65911"/>
      </patternFill>
    </fill>
    <fill>
      <patternFill patternType="solid">
        <fgColor rgb="FFFFF2CC"/>
      </patternFill>
    </fill>
    <fill>
      <patternFill patternType="solid">
        <fgColor rgb="FFFCE4D6"/>
      </patternFill>
    </fill>
    <fill>
      <patternFill patternType="solid">
        <fgColor rgb="FFFFFDF2"/>
      </patternFill>
    </fill>
    <fill>
      <patternFill patternType="solid">
        <fgColor rgb="FFE2F0D9"/>
      </patternFill>
    </fill>
    <fill>
      <patternFill patternType="solid">
        <fgColor rgb="FF7F8FA6"/>
      </patternFill>
    </fill>
    <fill>
      <patternFill patternType="solid">
        <fgColor rgb="FFD9EAF7"/>
      </patternFill>
    </fill>
    <fill>
      <patternFill patternType="solid">
        <fgColor rgb="FFF7FBFF"/>
      </patternFill>
    </fill>
    <fill>
      <patternFill patternType="solid">
        <fgColor rgb="FF5B9BD5"/>
      </patternFill>
    </fill>
    <fill>
      <patternFill patternType="solid">
        <fgColor rgb="FF2F75B5"/>
      </patternFill>
    </fill>
    <fill>
      <patternFill patternType="solid">
        <fgColor rgb="FFD9EAD3"/>
      </patternFill>
    </fill>
    <fill>
      <patternFill patternType="solid">
        <fgColor rgb="FF548235"/>
      </patternFill>
    </fill>
    <fill>
      <patternFill patternType="solid">
        <fgColor rgb="FFD9EAF7"/>
      </patternFill>
    </fill>
    <fill>
      <patternFill patternType="solid">
        <fgColor rgb="FF1F4E78"/>
      </patternFill>
    </fill>
    <fill>
      <patternFill patternType="solid">
        <fgColor rgb="FF548235"/>
      </patternFill>
    </fill>
    <fill>
      <patternFill patternType="solid">
        <fgColor rgb="FFFFF2CC"/>
      </patternFill>
    </fill>
    <fill>
      <patternFill patternType="solid">
        <fgColor rgb="FF17365D"/>
      </patternFill>
    </fill>
    <fill>
      <patternFill patternType="solid">
        <fgColor rgb="FF17365D"/>
      </patternFill>
    </fill>
    <fill>
      <patternFill patternType="solid">
        <fgColor rgb="FFD9EAF7"/>
      </patternFill>
    </fill>
    <fill>
      <patternFill patternType="solid">
        <fgColor rgb="FF1F4E78"/>
      </patternFill>
    </fill>
    <fill>
      <patternFill patternType="solid">
        <fgColor rgb="FF548235"/>
      </patternFill>
    </fill>
    <fill>
      <patternFill patternType="solid">
        <fgColor rgb="FFFFF2CC"/>
      </patternFill>
    </fill>
    <fill>
      <patternFill patternType="solid">
        <fgColor rgb="FFE2F0D9"/>
      </patternFill>
    </fill>
    <fill>
      <patternFill patternType="solid">
        <fgColor rgb="FFFCE4D6"/>
      </patternFill>
    </fill>
    <fill>
      <patternFill patternType="solid">
        <fgColor rgb="FF7F8FA6"/>
      </patternFill>
    </fill>
    <fill>
      <patternFill patternType="solid">
        <fgColor rgb="FFEAF2F8"/>
      </patternFill>
    </fill>
    <fill>
      <patternFill patternType="solid">
        <fgColor rgb="FF17365D"/>
      </patternFill>
    </fill>
    <fill>
      <patternFill patternType="solid">
        <fgColor rgb="FFD9EAF7"/>
      </patternFill>
    </fill>
    <fill>
      <patternFill patternType="solid">
        <fgColor rgb="FF1F4E78"/>
      </patternFill>
    </fill>
    <fill>
      <patternFill patternType="solid">
        <fgColor rgb="FF2F75B5"/>
      </patternFill>
    </fill>
    <fill>
      <patternFill patternType="solid">
        <fgColor rgb="FFF7FBFF"/>
      </patternFill>
    </fill>
    <fill>
      <patternFill patternType="solid">
        <fgColor rgb="FFFFF2CC"/>
      </patternFill>
    </fill>
    <fill>
      <patternFill patternType="solid">
        <fgColor rgb="FFC65911"/>
      </patternFill>
    </fill>
    <fill>
      <patternFill patternType="solid">
        <fgColor rgb="FF9C0006"/>
      </patternFill>
    </fill>
    <fill>
      <patternFill patternType="solid">
        <fgColor rgb="FF5B9BD5"/>
      </patternFill>
    </fill>
    <fill>
      <patternFill patternType="solid">
        <fgColor rgb="FF17365D"/>
      </patternFill>
    </fill>
    <fill>
      <patternFill patternType="solid">
        <fgColor rgb="FFD9EAF7"/>
      </patternFill>
    </fill>
    <fill>
      <patternFill patternType="solid">
        <fgColor rgb="FF1F4E78"/>
      </patternFill>
    </fill>
    <fill>
      <patternFill patternType="solid">
        <fgColor rgb="FF2F75B5"/>
      </patternFill>
    </fill>
    <fill>
      <patternFill patternType="solid">
        <fgColor rgb="FFF7FBFF"/>
      </patternFill>
    </fill>
    <fill>
      <patternFill patternType="solid">
        <fgColor rgb="FFFFF2CC"/>
      </patternFill>
    </fill>
    <fill>
      <patternFill patternType="solid">
        <fgColor rgb="FF17365D"/>
      </patternFill>
    </fill>
    <fill>
      <patternFill patternType="solid">
        <fgColor rgb="FFD9EAF7"/>
      </patternFill>
    </fill>
    <fill>
      <patternFill patternType="solid">
        <fgColor rgb="FFFFF2CC"/>
      </patternFill>
    </fill>
    <fill>
      <patternFill patternType="solid">
        <fgColor rgb="FF1F4E78"/>
      </patternFill>
    </fill>
    <fill>
      <patternFill patternType="solid">
        <fgColor rgb="FFE2F0D9"/>
      </patternFill>
    </fill>
    <fill>
      <patternFill patternType="solid">
        <fgColor rgb="FF2F75B5"/>
      </patternFill>
    </fill>
    <fill>
      <patternFill patternType="solid">
        <fgColor rgb="FFF7FBFF"/>
      </patternFill>
    </fill>
    <fill>
      <patternFill patternType="solid">
        <fgColor rgb="FF548235"/>
      </patternFill>
    </fill>
    <fill>
      <patternFill patternType="solid">
        <fgColor rgb="FF17365D"/>
      </patternFill>
    </fill>
    <fill>
      <patternFill patternType="solid">
        <fgColor rgb="FF2F75B5"/>
      </patternFill>
    </fill>
    <fill>
      <patternFill patternType="solid">
        <fgColor rgb="FFF7FBFF"/>
      </patternFill>
    </fill>
    <fill>
      <patternFill patternType="solid">
        <fgColor rgb="FF548235"/>
      </patternFill>
    </fill>
    <fill>
      <patternFill patternType="solid">
        <fgColor rgb="FFFFF2CC"/>
      </patternFill>
    </fill>
    <fill>
      <patternFill patternType="solid">
        <fgColor rgb="FFE2F0D9"/>
      </patternFill>
    </fill>
    <fill>
      <patternFill patternType="solid">
        <fgColor rgb="FF1F4E78"/>
      </patternFill>
    </fill>
    <fill>
      <patternFill patternType="solid">
        <fgColor rgb="FFFFF2CC"/>
      </patternFill>
    </fill>
    <fill>
      <patternFill patternType="solid">
        <fgColor rgb="FFEAF2F8"/>
      </patternFill>
    </fill>
    <fill>
      <patternFill patternType="solid">
        <fgColor rgb="FFFCE4D6"/>
      </patternFill>
    </fill>
    <fill>
      <patternFill patternType="solid">
        <fgColor rgb="FFE2F0D9"/>
      </patternFill>
    </fill>
    <fill>
      <patternFill patternType="solid">
        <fgColor rgb="001F4E79"/>
      </patternFill>
    </fill>
    <fill>
      <patternFill patternType="solid">
        <fgColor rgb="002E75B6"/>
      </patternFill>
    </fill>
    <fill>
      <patternFill patternType="solid">
        <fgColor rgb="00F2F2F2"/>
      </patternFill>
    </fill>
    <fill>
      <patternFill patternType="solid">
        <fgColor rgb="00FFF2CC"/>
      </patternFill>
    </fill>
    <fill>
      <patternFill patternType="solid">
        <fgColor rgb="00FCE4D6"/>
      </patternFill>
    </fill>
    <fill>
      <patternFill patternType="solid">
        <fgColor rgb="00548235"/>
      </patternFill>
    </fill>
    <fill>
      <patternFill patternType="solid">
        <fgColor rgb="00DDEBF7"/>
      </patternFill>
    </fill>
    <fill>
      <patternFill patternType="solid">
        <fgColor rgb="00E2EFDA"/>
      </patternFill>
    </fill>
    <fill>
      <patternFill patternType="solid">
        <fgColor rgb="00FBE2D5"/>
      </patternFill>
    </fill>
  </fills>
  <borders count="120"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>
      <left style="thin">
        <color rgb="00BFBFBF"/>
      </left>
      <right style="thin">
        <color rgb="00BFBFBF"/>
      </right>
      <top style="thin">
        <color rgb="00BFBFBF"/>
      </top>
      <bottom style="thin">
        <color rgb="00BFBFBF"/>
      </bottom>
    </border>
    <border>
      <top style="thin">
        <color rgb="00BFBFBF"/>
      </top>
    </border>
    <border>
      <right style="thin">
        <color rgb="00BFBFBF"/>
      </right>
      <top style="thin">
        <color rgb="00BFBFBF"/>
      </top>
    </border>
    <border>
      <top style="thin">
        <color rgb="00BFBFBF"/>
      </top>
      <bottom style="thin">
        <color rgb="00BFBFBF"/>
      </bottom>
    </border>
    <border>
      <right style="thin">
        <color rgb="00BFBFBF"/>
      </right>
      <top style="thin">
        <color rgb="00BFBFBF"/>
      </top>
      <bottom style="thin">
        <color rgb="00BFBFBF"/>
      </bottom>
    </border>
    <border>
      <left style="thin">
        <color rgb="00BFBFBF"/>
      </left>
    </border>
    <border>
      <right style="thin">
        <color rgb="00BFBFBF"/>
      </right>
    </border>
    <border>
      <left style="thin">
        <color rgb="00BFBFBF"/>
      </left>
      <bottom style="thin">
        <color rgb="00BFBFBF"/>
      </bottom>
    </border>
    <border>
      <bottom style="thin">
        <color rgb="00BFBFBF"/>
      </bottom>
    </border>
    <border>
      <right style="thin">
        <color rgb="00BFBFBF"/>
      </right>
      <bottom style="thin">
        <color rgb="00BFBFBF"/>
      </bottom>
    </border>
  </borders>
  <cellStyleXfs count="1">
    <xf numFmtId="0" fontId="0" fillId="0" borderId="109"/>
  </cellStyleXfs>
  <cellXfs count="1372">
    <xf numFmtId="0" fontId="0" fillId="0" borderId="0" pivotButton="0" quotePrefix="0" xfId="0"/>
    <xf numFmtId="0" fontId="0" fillId="0" borderId="1" pivotButton="0" quotePrefix="0" xfId="0"/>
    <xf numFmtId="0" fontId="0" fillId="2" borderId="0" pivotButton="0" quotePrefix="0" xfId="0"/>
    <xf numFmtId="0" fontId="1" fillId="2" borderId="0" pivotButton="0" quotePrefix="0" xfId="0"/>
    <xf numFmtId="0" fontId="1" fillId="2" borderId="0" applyAlignment="1" pivotButton="0" quotePrefix="0" xfId="0">
      <alignment horizontal="left"/>
    </xf>
    <xf numFmtId="0" fontId="1" fillId="2" borderId="0" applyAlignment="1" pivotButton="0" quotePrefix="0" xfId="0">
      <alignment horizontal="left" vertical="center"/>
    </xf>
    <xf numFmtId="0" fontId="0" fillId="2" borderId="1" pivotButton="0" quotePrefix="0" xfId="0"/>
    <xf numFmtId="0" fontId="1" fillId="2" borderId="1" pivotButton="0" quotePrefix="0" xfId="0"/>
    <xf numFmtId="0" fontId="1" fillId="2" borderId="1" applyAlignment="1" pivotButton="0" quotePrefix="0" xfId="0">
      <alignment horizontal="left"/>
    </xf>
    <xf numFmtId="0" fontId="1" fillId="2" borderId="1" applyAlignment="1" pivotButton="0" quotePrefix="0" xfId="0">
      <alignment horizontal="left" vertical="center"/>
    </xf>
    <xf numFmtId="0" fontId="0" fillId="3" borderId="0" pivotButton="0" quotePrefix="0" xfId="0"/>
    <xf numFmtId="0" fontId="2" fillId="3" borderId="0" pivotButton="0" quotePrefix="0" xfId="0"/>
    <xf numFmtId="0" fontId="2" fillId="3" borderId="0" applyAlignment="1" pivotButton="0" quotePrefix="0" xfId="0">
      <alignment wrapText="1"/>
    </xf>
    <xf numFmtId="0" fontId="2" fillId="3" borderId="0" applyAlignment="1" pivotButton="0" quotePrefix="0" xfId="0">
      <alignment vertical="center" wrapText="1"/>
    </xf>
    <xf numFmtId="0" fontId="0" fillId="3" borderId="1" pivotButton="0" quotePrefix="0" xfId="0"/>
    <xf numFmtId="0" fontId="2" fillId="3" borderId="1" pivotButton="0" quotePrefix="0" xfId="0"/>
    <xf numFmtId="0" fontId="2" fillId="3" borderId="1" applyAlignment="1" pivotButton="0" quotePrefix="0" xfId="0">
      <alignment wrapText="1"/>
    </xf>
    <xf numFmtId="0" fontId="2" fillId="3" borderId="1" applyAlignment="1" pivotButton="0" quotePrefix="0" xfId="0">
      <alignment vertical="center" wrapText="1"/>
    </xf>
    <xf numFmtId="0" fontId="0" fillId="4" borderId="0" pivotButton="0" quotePrefix="0" xfId="0"/>
    <xf numFmtId="0" fontId="3" fillId="4" borderId="0" pivotButton="0" quotePrefix="0" xfId="0"/>
    <xf numFmtId="0" fontId="3" fillId="4" borderId="2" pivotButton="0" quotePrefix="0" xfId="0"/>
    <xf numFmtId="0" fontId="3" fillId="4" borderId="3" pivotButton="0" quotePrefix="0" xfId="0"/>
    <xf numFmtId="0" fontId="3" fillId="4" borderId="4" pivotButton="0" quotePrefix="0" xfId="0"/>
    <xf numFmtId="0" fontId="3" fillId="4" borderId="2" applyAlignment="1" pivotButton="0" quotePrefix="0" xfId="0">
      <alignment wrapText="1"/>
    </xf>
    <xf numFmtId="0" fontId="3" fillId="4" borderId="3" applyAlignment="1" pivotButton="0" quotePrefix="0" xfId="0">
      <alignment wrapText="1"/>
    </xf>
    <xf numFmtId="0" fontId="3" fillId="4" borderId="4" applyAlignment="1" pivotButton="0" quotePrefix="0" xfId="0">
      <alignment wrapText="1"/>
    </xf>
    <xf numFmtId="0" fontId="3" fillId="4" borderId="2" applyAlignment="1" pivotButton="0" quotePrefix="0" xfId="0">
      <alignment horizontal="center" wrapText="1"/>
    </xf>
    <xf numFmtId="0" fontId="3" fillId="4" borderId="3" applyAlignment="1" pivotButton="0" quotePrefix="0" xfId="0">
      <alignment horizontal="center" wrapText="1"/>
    </xf>
    <xf numFmtId="0" fontId="3" fillId="4" borderId="4" applyAlignment="1" pivotButton="0" quotePrefix="0" xfId="0">
      <alignment horizontal="center" wrapText="1"/>
    </xf>
    <xf numFmtId="0" fontId="3" fillId="4" borderId="2" applyAlignment="1" pivotButton="0" quotePrefix="0" xfId="0">
      <alignment horizontal="center" vertical="center" wrapText="1"/>
    </xf>
    <xf numFmtId="0" fontId="3" fillId="4" borderId="3" applyAlignment="1" pivotButton="0" quotePrefix="0" xfId="0">
      <alignment horizontal="center" vertical="center" wrapText="1"/>
    </xf>
    <xf numFmtId="0" fontId="3" fillId="4" borderId="4" applyAlignment="1" pivotButton="0" quotePrefix="0" xfId="0">
      <alignment horizontal="center" vertical="center" wrapText="1"/>
    </xf>
    <xf numFmtId="0" fontId="0" fillId="4" borderId="1" pivotButton="0" quotePrefix="0" xfId="0"/>
    <xf numFmtId="0" fontId="3" fillId="4" borderId="1" pivotButton="0" quotePrefix="0" xfId="0"/>
    <xf numFmtId="0" fontId="3" fillId="4" borderId="5" pivotButton="0" quotePrefix="0" xfId="0"/>
    <xf numFmtId="0" fontId="3" fillId="4" borderId="6" pivotButton="0" quotePrefix="0" xfId="0"/>
    <xf numFmtId="0" fontId="3" fillId="4" borderId="7" pivotButton="0" quotePrefix="0" xfId="0"/>
    <xf numFmtId="0" fontId="3" fillId="4" borderId="5" applyAlignment="1" pivotButton="0" quotePrefix="0" xfId="0">
      <alignment wrapText="1"/>
    </xf>
    <xf numFmtId="0" fontId="3" fillId="4" borderId="6" applyAlignment="1" pivotButton="0" quotePrefix="0" xfId="0">
      <alignment wrapText="1"/>
    </xf>
    <xf numFmtId="0" fontId="3" fillId="4" borderId="7" applyAlignment="1" pivotButton="0" quotePrefix="0" xfId="0">
      <alignment wrapText="1"/>
    </xf>
    <xf numFmtId="0" fontId="3" fillId="4" borderId="5" applyAlignment="1" pivotButton="0" quotePrefix="0" xfId="0">
      <alignment horizontal="center" wrapText="1"/>
    </xf>
    <xf numFmtId="0" fontId="3" fillId="4" borderId="6" applyAlignment="1" pivotButton="0" quotePrefix="0" xfId="0">
      <alignment horizontal="center" wrapText="1"/>
    </xf>
    <xf numFmtId="0" fontId="3" fillId="4" borderId="7" applyAlignment="1" pivotButton="0" quotePrefix="0" xfId="0">
      <alignment horizontal="center" wrapText="1"/>
    </xf>
    <xf numFmtId="0" fontId="3" fillId="4" borderId="5" applyAlignment="1" pivotButton="0" quotePrefix="0" xfId="0">
      <alignment horizontal="center" vertical="center" wrapText="1"/>
    </xf>
    <xf numFmtId="0" fontId="3" fillId="4" borderId="6" applyAlignment="1" pivotButton="0" quotePrefix="0" xfId="0">
      <alignment horizontal="center" vertical="center" wrapText="1"/>
    </xf>
    <xf numFmtId="0" fontId="3" fillId="4" borderId="7" applyAlignment="1" pivotButton="0" quotePrefix="0" xfId="0">
      <alignment horizontal="center" vertical="center" wrapText="1"/>
    </xf>
    <xf numFmtId="0" fontId="0" fillId="0" borderId="0" applyAlignment="1" pivotButton="0" quotePrefix="0" xfId="0">
      <alignment wrapText="1"/>
    </xf>
    <xf numFmtId="0" fontId="0" fillId="0" borderId="1" applyAlignment="1" pivotButton="0" quotePrefix="0" xfId="0">
      <alignment wrapText="1"/>
    </xf>
    <xf numFmtId="0" fontId="0" fillId="5" borderId="0" pivotButton="0" quotePrefix="0" xfId="0"/>
    <xf numFmtId="0" fontId="3" fillId="5" borderId="0" pivotButton="0" quotePrefix="0" xfId="0"/>
    <xf numFmtId="0" fontId="3" fillId="5" borderId="2" pivotButton="0" quotePrefix="0" xfId="0"/>
    <xf numFmtId="0" fontId="3" fillId="5" borderId="3" pivotButton="0" quotePrefix="0" xfId="0"/>
    <xf numFmtId="0" fontId="3" fillId="5" borderId="4" pivotButton="0" quotePrefix="0" xfId="0"/>
    <xf numFmtId="0" fontId="3" fillId="5" borderId="2" applyAlignment="1" pivotButton="0" quotePrefix="0" xfId="0">
      <alignment wrapText="1"/>
    </xf>
    <xf numFmtId="0" fontId="3" fillId="5" borderId="3" applyAlignment="1" pivotButton="0" quotePrefix="0" xfId="0">
      <alignment wrapText="1"/>
    </xf>
    <xf numFmtId="0" fontId="3" fillId="5" borderId="4" applyAlignment="1" pivotButton="0" quotePrefix="0" xfId="0">
      <alignment wrapText="1"/>
    </xf>
    <xf numFmtId="0" fontId="3" fillId="5" borderId="2" applyAlignment="1" pivotButton="0" quotePrefix="0" xfId="0">
      <alignment horizontal="center" wrapText="1"/>
    </xf>
    <xf numFmtId="0" fontId="3" fillId="5" borderId="3" applyAlignment="1" pivotButton="0" quotePrefix="0" xfId="0">
      <alignment horizontal="center" wrapText="1"/>
    </xf>
    <xf numFmtId="0" fontId="3" fillId="5" borderId="4" applyAlignment="1" pivotButton="0" quotePrefix="0" xfId="0">
      <alignment horizontal="center" wrapText="1"/>
    </xf>
    <xf numFmtId="0" fontId="3" fillId="5" borderId="2" applyAlignment="1" pivotButton="0" quotePrefix="0" xfId="0">
      <alignment horizontal="center" vertical="center" wrapText="1"/>
    </xf>
    <xf numFmtId="0" fontId="3" fillId="5" borderId="3" applyAlignment="1" pivotButton="0" quotePrefix="0" xfId="0">
      <alignment horizontal="center" vertical="center" wrapText="1"/>
    </xf>
    <xf numFmtId="0" fontId="3" fillId="5" borderId="4" applyAlignment="1" pivotButton="0" quotePrefix="0" xfId="0">
      <alignment horizontal="center" vertical="center" wrapText="1"/>
    </xf>
    <xf numFmtId="0" fontId="0" fillId="5" borderId="1" pivotButton="0" quotePrefix="0" xfId="0"/>
    <xf numFmtId="0" fontId="3" fillId="5" borderId="1" pivotButton="0" quotePrefix="0" xfId="0"/>
    <xf numFmtId="0" fontId="3" fillId="5" borderId="5" pivotButton="0" quotePrefix="0" xfId="0"/>
    <xf numFmtId="0" fontId="3" fillId="5" borderId="6" pivotButton="0" quotePrefix="0" xfId="0"/>
    <xf numFmtId="0" fontId="3" fillId="5" borderId="7" pivotButton="0" quotePrefix="0" xfId="0"/>
    <xf numFmtId="0" fontId="3" fillId="5" borderId="5" applyAlignment="1" pivotButton="0" quotePrefix="0" xfId="0">
      <alignment wrapText="1"/>
    </xf>
    <xf numFmtId="0" fontId="3" fillId="5" borderId="6" applyAlignment="1" pivotButton="0" quotePrefix="0" xfId="0">
      <alignment wrapText="1"/>
    </xf>
    <xf numFmtId="0" fontId="3" fillId="5" borderId="7" applyAlignment="1" pivotButton="0" quotePrefix="0" xfId="0">
      <alignment wrapText="1"/>
    </xf>
    <xf numFmtId="0" fontId="3" fillId="5" borderId="5" applyAlignment="1" pivotButton="0" quotePrefix="0" xfId="0">
      <alignment horizontal="center" wrapText="1"/>
    </xf>
    <xf numFmtId="0" fontId="3" fillId="5" borderId="6" applyAlignment="1" pivotButton="0" quotePrefix="0" xfId="0">
      <alignment horizontal="center" wrapText="1"/>
    </xf>
    <xf numFmtId="0" fontId="3" fillId="5" borderId="7" applyAlignment="1" pivotButton="0" quotePrefix="0" xfId="0">
      <alignment horizontal="center" wrapText="1"/>
    </xf>
    <xf numFmtId="0" fontId="3" fillId="5" borderId="5" applyAlignment="1" pivotButton="0" quotePrefix="0" xfId="0">
      <alignment horizontal="center" vertical="center" wrapText="1"/>
    </xf>
    <xf numFmtId="0" fontId="3" fillId="5" borderId="6" applyAlignment="1" pivotButton="0" quotePrefix="0" xfId="0">
      <alignment horizontal="center" vertical="center" wrapText="1"/>
    </xf>
    <xf numFmtId="0" fontId="3" fillId="5" borderId="7" applyAlignment="1" pivotButton="0" quotePrefix="0" xfId="0">
      <alignment horizontal="center" vertical="center" wrapText="1"/>
    </xf>
    <xf numFmtId="0" fontId="3" fillId="4" borderId="8" applyAlignment="1" pivotButton="0" quotePrefix="0" xfId="0">
      <alignment horizontal="center" vertical="center" wrapText="1"/>
    </xf>
    <xf numFmtId="0" fontId="3" fillId="4" borderId="9" applyAlignment="1" pivotButton="0" quotePrefix="0" xfId="0">
      <alignment horizontal="center" vertical="center" wrapText="1"/>
    </xf>
    <xf numFmtId="0" fontId="3" fillId="4" borderId="10" applyAlignment="1" pivotButton="0" quotePrefix="0" xfId="0">
      <alignment horizontal="center" vertical="center" wrapText="1"/>
    </xf>
    <xf numFmtId="0" fontId="0" fillId="0" borderId="11" applyAlignment="1" pivotButton="0" quotePrefix="0" xfId="0">
      <alignment wrapText="1"/>
    </xf>
    <xf numFmtId="0" fontId="0" fillId="0" borderId="0" pivotButton="0" quotePrefix="0" xfId="0"/>
    <xf numFmtId="0" fontId="0" fillId="0" borderId="12" pivotButton="0" quotePrefix="0" xfId="0"/>
    <xf numFmtId="0" fontId="0" fillId="0" borderId="11" pivotButton="0" quotePrefix="0" xfId="0"/>
    <xf numFmtId="0" fontId="3" fillId="5" borderId="13" applyAlignment="1" pivotButton="0" quotePrefix="0" xfId="0">
      <alignment horizontal="center" vertical="center" wrapText="1"/>
    </xf>
    <xf numFmtId="0" fontId="3" fillId="5" borderId="14" applyAlignment="1" pivotButton="0" quotePrefix="0" xfId="0">
      <alignment horizontal="center" vertical="center" wrapText="1"/>
    </xf>
    <xf numFmtId="0" fontId="0" fillId="0" borderId="12" applyAlignment="1" pivotButton="0" quotePrefix="0" xfId="0">
      <alignment wrapText="1"/>
    </xf>
    <xf numFmtId="0" fontId="0" fillId="0" borderId="15" applyAlignment="1" pivotButton="0" quotePrefix="0" xfId="0">
      <alignment wrapText="1"/>
    </xf>
    <xf numFmtId="0" fontId="0" fillId="0" borderId="16" applyAlignment="1" pivotButton="0" quotePrefix="0" xfId="0">
      <alignment wrapText="1"/>
    </xf>
    <xf numFmtId="0" fontId="0" fillId="0" borderId="17" applyAlignment="1" pivotButton="0" quotePrefix="0" xfId="0">
      <alignment wrapText="1"/>
    </xf>
    <xf numFmtId="0" fontId="3" fillId="4" borderId="18" applyAlignment="1" pivotButton="0" quotePrefix="0" xfId="0">
      <alignment horizontal="center" vertical="center" wrapText="1"/>
    </xf>
    <xf numFmtId="0" fontId="3" fillId="4" borderId="19" applyAlignment="1" pivotButton="0" quotePrefix="0" xfId="0">
      <alignment horizontal="center" vertical="center" wrapText="1"/>
    </xf>
    <xf numFmtId="0" fontId="3" fillId="4" borderId="20" applyAlignment="1" pivotButton="0" quotePrefix="0" xfId="0">
      <alignment horizontal="center" vertical="center" wrapText="1"/>
    </xf>
    <xf numFmtId="0" fontId="0" fillId="0" borderId="21" applyAlignment="1" pivotButton="0" quotePrefix="0" xfId="0">
      <alignment wrapText="1"/>
    </xf>
    <xf numFmtId="0" fontId="0" fillId="0" borderId="22" pivotButton="0" quotePrefix="0" xfId="0"/>
    <xf numFmtId="0" fontId="0" fillId="0" borderId="21" pivotButton="0" quotePrefix="0" xfId="0"/>
    <xf numFmtId="0" fontId="3" fillId="5" borderId="23" applyAlignment="1" pivotButton="0" quotePrefix="0" xfId="0">
      <alignment horizontal="center" vertical="center" wrapText="1"/>
    </xf>
    <xf numFmtId="0" fontId="3" fillId="5" borderId="24" applyAlignment="1" pivotButton="0" quotePrefix="0" xfId="0">
      <alignment horizontal="center" vertical="center" wrapText="1"/>
    </xf>
    <xf numFmtId="0" fontId="0" fillId="0" borderId="22" applyAlignment="1" pivotButton="0" quotePrefix="0" xfId="0">
      <alignment wrapText="1"/>
    </xf>
    <xf numFmtId="0" fontId="0" fillId="0" borderId="25" applyAlignment="1" pivotButton="0" quotePrefix="0" xfId="0">
      <alignment wrapText="1"/>
    </xf>
    <xf numFmtId="0" fontId="0" fillId="0" borderId="26" applyAlignment="1" pivotButton="0" quotePrefix="0" xfId="0">
      <alignment wrapText="1"/>
    </xf>
    <xf numFmtId="0" fontId="0" fillId="0" borderId="27" applyAlignment="1" pivotButton="0" quotePrefix="0" xfId="0">
      <alignment wrapText="1"/>
    </xf>
    <xf numFmtId="0" fontId="4" fillId="2" borderId="0" applyAlignment="1" pivotButton="0" quotePrefix="0" xfId="0">
      <alignment horizontal="left" vertical="center"/>
    </xf>
    <xf numFmtId="0" fontId="5" fillId="0" borderId="0" pivotButton="0" quotePrefix="0" xfId="0"/>
    <xf numFmtId="0" fontId="6" fillId="3" borderId="0" applyAlignment="1" pivotButton="0" quotePrefix="0" xfId="0">
      <alignment vertical="center" wrapText="1"/>
    </xf>
    <xf numFmtId="0" fontId="4" fillId="4" borderId="8" applyAlignment="1" pivotButton="0" quotePrefix="0" xfId="0">
      <alignment horizontal="center" vertical="center" wrapText="1"/>
    </xf>
    <xf numFmtId="0" fontId="4" fillId="4" borderId="9" applyAlignment="1" pivotButton="0" quotePrefix="0" xfId="0">
      <alignment horizontal="center" vertical="center" wrapText="1"/>
    </xf>
    <xf numFmtId="0" fontId="4" fillId="4" borderId="10" applyAlignment="1" pivotButton="0" quotePrefix="0" xfId="0">
      <alignment horizontal="center" vertical="center" wrapText="1"/>
    </xf>
    <xf numFmtId="0" fontId="5" fillId="0" borderId="11" applyAlignment="1" pivotButton="0" quotePrefix="0" xfId="0">
      <alignment wrapText="1"/>
    </xf>
    <xf numFmtId="0" fontId="5" fillId="0" borderId="0" applyAlignment="1" pivotButton="0" quotePrefix="0" xfId="0">
      <alignment wrapText="1"/>
    </xf>
    <xf numFmtId="0" fontId="5" fillId="0" borderId="12" pivotButton="0" quotePrefix="0" xfId="0"/>
    <xf numFmtId="0" fontId="5" fillId="0" borderId="11" pivotButton="0" quotePrefix="0" xfId="0"/>
    <xf numFmtId="0" fontId="4" fillId="5" borderId="13" applyAlignment="1" pivotButton="0" quotePrefix="0" xfId="0">
      <alignment horizontal="center" vertical="center" wrapText="1"/>
    </xf>
    <xf numFmtId="0" fontId="4" fillId="5" borderId="3" applyAlignment="1" pivotButton="0" quotePrefix="0" xfId="0">
      <alignment horizontal="center" vertical="center" wrapText="1"/>
    </xf>
    <xf numFmtId="0" fontId="4" fillId="5" borderId="14" applyAlignment="1" pivotButton="0" quotePrefix="0" xfId="0">
      <alignment horizontal="center" vertical="center" wrapText="1"/>
    </xf>
    <xf numFmtId="0" fontId="5" fillId="0" borderId="12" applyAlignment="1" pivotButton="0" quotePrefix="0" xfId="0">
      <alignment wrapText="1"/>
    </xf>
    <xf numFmtId="0" fontId="5" fillId="0" borderId="15" applyAlignment="1" pivotButton="0" quotePrefix="0" xfId="0">
      <alignment wrapText="1"/>
    </xf>
    <xf numFmtId="0" fontId="5" fillId="0" borderId="16" applyAlignment="1" pivotButton="0" quotePrefix="0" xfId="0">
      <alignment wrapText="1"/>
    </xf>
    <xf numFmtId="0" fontId="5" fillId="0" borderId="17" applyAlignment="1" pivotButton="0" quotePrefix="0" xfId="0">
      <alignment wrapText="1"/>
    </xf>
    <xf numFmtId="0" fontId="4" fillId="2" borderId="1" applyAlignment="1" pivotButton="0" quotePrefix="0" xfId="0">
      <alignment horizontal="left" vertical="center"/>
    </xf>
    <xf numFmtId="0" fontId="5" fillId="0" borderId="1" pivotButton="0" quotePrefix="0" xfId="0"/>
    <xf numFmtId="0" fontId="6" fillId="3" borderId="1" applyAlignment="1" pivotButton="0" quotePrefix="0" xfId="0">
      <alignment vertical="center" wrapText="1"/>
    </xf>
    <xf numFmtId="0" fontId="4" fillId="4" borderId="18" applyAlignment="1" pivotButton="0" quotePrefix="0" xfId="0">
      <alignment horizontal="center" vertical="center" wrapText="1"/>
    </xf>
    <xf numFmtId="0" fontId="4" fillId="4" borderId="19" applyAlignment="1" pivotButton="0" quotePrefix="0" xfId="0">
      <alignment horizontal="center" vertical="center" wrapText="1"/>
    </xf>
    <xf numFmtId="0" fontId="4" fillId="4" borderId="20" applyAlignment="1" pivotButton="0" quotePrefix="0" xfId="0">
      <alignment horizontal="center" vertical="center" wrapText="1"/>
    </xf>
    <xf numFmtId="0" fontId="5" fillId="0" borderId="21" applyAlignment="1" pivotButton="0" quotePrefix="0" xfId="0">
      <alignment wrapText="1"/>
    </xf>
    <xf numFmtId="0" fontId="5" fillId="0" borderId="1" applyAlignment="1" pivotButton="0" quotePrefix="0" xfId="0">
      <alignment wrapText="1"/>
    </xf>
    <xf numFmtId="0" fontId="5" fillId="0" borderId="22" pivotButton="0" quotePrefix="0" xfId="0"/>
    <xf numFmtId="0" fontId="5" fillId="0" borderId="21" pivotButton="0" quotePrefix="0" xfId="0"/>
    <xf numFmtId="0" fontId="4" fillId="5" borderId="23" applyAlignment="1" pivotButton="0" quotePrefix="0" xfId="0">
      <alignment horizontal="center" vertical="center" wrapText="1"/>
    </xf>
    <xf numFmtId="0" fontId="4" fillId="5" borderId="6" applyAlignment="1" pivotButton="0" quotePrefix="0" xfId="0">
      <alignment horizontal="center" vertical="center" wrapText="1"/>
    </xf>
    <xf numFmtId="0" fontId="4" fillId="5" borderId="24" applyAlignment="1" pivotButton="0" quotePrefix="0" xfId="0">
      <alignment horizontal="center" vertical="center" wrapText="1"/>
    </xf>
    <xf numFmtId="0" fontId="5" fillId="0" borderId="22" applyAlignment="1" pivotButton="0" quotePrefix="0" xfId="0">
      <alignment wrapText="1"/>
    </xf>
    <xf numFmtId="0" fontId="5" fillId="0" borderId="25" applyAlignment="1" pivotButton="0" quotePrefix="0" xfId="0">
      <alignment wrapText="1"/>
    </xf>
    <xf numFmtId="0" fontId="5" fillId="0" borderId="26" applyAlignment="1" pivotButton="0" quotePrefix="0" xfId="0">
      <alignment wrapText="1"/>
    </xf>
    <xf numFmtId="0" fontId="5" fillId="0" borderId="27" applyAlignment="1" pivotButton="0" quotePrefix="0" xfId="0">
      <alignment wrapText="1"/>
    </xf>
    <xf numFmtId="0" fontId="0" fillId="6" borderId="0" pivotButton="0" quotePrefix="0" xfId="0"/>
    <xf numFmtId="0" fontId="0" fillId="6" borderId="1" pivotButton="0" quotePrefix="0" xfId="0"/>
    <xf numFmtId="164" fontId="0" fillId="6" borderId="0" pivotButton="0" quotePrefix="0" xfId="0"/>
    <xf numFmtId="164" fontId="0" fillId="6" borderId="1" pivotButton="0" quotePrefix="0" xfId="0"/>
    <xf numFmtId="165" fontId="0" fillId="6" borderId="0" pivotButton="0" quotePrefix="0" xfId="0"/>
    <xf numFmtId="165" fontId="0" fillId="6" borderId="1" pivotButton="0" quotePrefix="0" xfId="0"/>
    <xf numFmtId="0" fontId="0" fillId="6" borderId="12" pivotButton="0" quotePrefix="0" xfId="0"/>
    <xf numFmtId="164" fontId="0" fillId="6" borderId="12" pivotButton="0" quotePrefix="0" xfId="0"/>
    <xf numFmtId="0" fontId="0" fillId="0" borderId="15" pivotButton="0" quotePrefix="0" xfId="0"/>
    <xf numFmtId="165" fontId="0" fillId="6" borderId="17" pivotButton="0" quotePrefix="0" xfId="0"/>
    <xf numFmtId="0" fontId="0" fillId="6" borderId="22" pivotButton="0" quotePrefix="0" xfId="0"/>
    <xf numFmtId="164" fontId="0" fillId="6" borderId="22" pivotButton="0" quotePrefix="0" xfId="0"/>
    <xf numFmtId="0" fontId="0" fillId="0" borderId="25" pivotButton="0" quotePrefix="0" xfId="0"/>
    <xf numFmtId="165" fontId="0" fillId="6" borderId="27" pivotButton="0" quotePrefix="0" xfId="0"/>
    <xf numFmtId="0" fontId="7" fillId="6" borderId="0" pivotButton="0" quotePrefix="0" xfId="0"/>
    <xf numFmtId="0" fontId="7" fillId="6" borderId="0" applyAlignment="1" pivotButton="0" quotePrefix="0" xfId="0">
      <alignment wrapText="1"/>
    </xf>
    <xf numFmtId="0" fontId="7" fillId="6" borderId="0" applyAlignment="1" pivotButton="0" quotePrefix="0" xfId="0">
      <alignment vertical="top" wrapText="1"/>
    </xf>
    <xf numFmtId="0" fontId="7" fillId="6" borderId="1" pivotButton="0" quotePrefix="0" xfId="0"/>
    <xf numFmtId="0" fontId="7" fillId="6" borderId="1" applyAlignment="1" pivotButton="0" quotePrefix="0" xfId="0">
      <alignment wrapText="1"/>
    </xf>
    <xf numFmtId="0" fontId="7" fillId="6" borderId="1" applyAlignment="1" pivotButton="0" quotePrefix="0" xfId="0">
      <alignment vertical="top" wrapText="1"/>
    </xf>
    <xf numFmtId="0" fontId="8" fillId="0" borderId="0" pivotButton="0" quotePrefix="0" xfId="0"/>
    <xf numFmtId="0" fontId="8" fillId="0" borderId="1" pivotButton="0" quotePrefix="0" xfId="0"/>
    <xf numFmtId="0" fontId="8" fillId="0" borderId="0" applyAlignment="1" pivotButton="0" quotePrefix="0" xfId="0">
      <alignment wrapText="1"/>
    </xf>
    <xf numFmtId="0" fontId="8" fillId="0" borderId="1" applyAlignment="1" pivotButton="0" quotePrefix="0" xfId="0">
      <alignment wrapText="1"/>
    </xf>
    <xf numFmtId="0" fontId="0" fillId="7" borderId="0" pivotButton="0" quotePrefix="0" xfId="0"/>
    <xf numFmtId="0" fontId="9" fillId="7" borderId="0" pivotButton="0" quotePrefix="0" xfId="0"/>
    <xf numFmtId="0" fontId="9" fillId="7" borderId="0" applyAlignment="1" pivotButton="0" quotePrefix="0" xfId="0">
      <alignment wrapText="1"/>
    </xf>
    <xf numFmtId="0" fontId="0" fillId="7" borderId="1" pivotButton="0" quotePrefix="0" xfId="0"/>
    <xf numFmtId="0" fontId="9" fillId="7" borderId="1" pivotButton="0" quotePrefix="0" xfId="0"/>
    <xf numFmtId="0" fontId="9" fillId="7" borderId="1" applyAlignment="1" pivotButton="0" quotePrefix="0" xfId="0">
      <alignment wrapText="1"/>
    </xf>
    <xf numFmtId="3" fontId="0" fillId="0" borderId="0" pivotButton="0" quotePrefix="0" xfId="0"/>
    <xf numFmtId="3" fontId="0" fillId="6" borderId="0" pivotButton="0" quotePrefix="0" xfId="0"/>
    <xf numFmtId="3" fontId="0" fillId="0" borderId="1" pivotButton="0" quotePrefix="0" xfId="0"/>
    <xf numFmtId="3" fontId="0" fillId="6" borderId="1" pivotButton="0" quotePrefix="0" xfId="0"/>
    <xf numFmtId="3" fontId="0" fillId="0" borderId="16" pivotButton="0" quotePrefix="0" xfId="0"/>
    <xf numFmtId="3" fontId="0" fillId="6" borderId="16" pivotButton="0" quotePrefix="0" xfId="0"/>
    <xf numFmtId="0" fontId="0" fillId="0" borderId="16" pivotButton="0" quotePrefix="0" xfId="0"/>
    <xf numFmtId="0" fontId="0" fillId="0" borderId="17" pivotButton="0" quotePrefix="0" xfId="0"/>
    <xf numFmtId="3" fontId="0" fillId="0" borderId="26" pivotButton="0" quotePrefix="0" xfId="0"/>
    <xf numFmtId="3" fontId="0" fillId="6" borderId="26" pivotButton="0" quotePrefix="0" xfId="0"/>
    <xf numFmtId="0" fontId="0" fillId="0" borderId="26" pivotButton="0" quotePrefix="0" xfId="0"/>
    <xf numFmtId="0" fontId="0" fillId="0" borderId="27" pivotButton="0" quotePrefix="0" xfId="0"/>
    <xf numFmtId="0" fontId="0" fillId="8" borderId="0" pivotButton="0" quotePrefix="0" xfId="0"/>
    <xf numFmtId="0" fontId="0" fillId="8" borderId="1" pivotButton="0" quotePrefix="0" xfId="0"/>
    <xf numFmtId="165" fontId="0" fillId="8" borderId="0" pivotButton="0" quotePrefix="0" xfId="0"/>
    <xf numFmtId="165" fontId="0" fillId="8" borderId="1" pivotButton="0" quotePrefix="0" xfId="0"/>
    <xf numFmtId="3" fontId="0" fillId="8" borderId="0" pivotButton="0" quotePrefix="0" xfId="0"/>
    <xf numFmtId="3" fontId="0" fillId="8" borderId="1" pivotButton="0" quotePrefix="0" xfId="0"/>
    <xf numFmtId="165" fontId="0" fillId="8" borderId="11" pivotButton="0" quotePrefix="0" xfId="0"/>
    <xf numFmtId="0" fontId="0" fillId="8" borderId="12" pivotButton="0" quotePrefix="0" xfId="0"/>
    <xf numFmtId="165" fontId="0" fillId="8" borderId="15" pivotButton="0" quotePrefix="0" xfId="0"/>
    <xf numFmtId="0" fontId="0" fillId="8" borderId="16" pivotButton="0" quotePrefix="0" xfId="0"/>
    <xf numFmtId="3" fontId="0" fillId="8" borderId="16" pivotButton="0" quotePrefix="0" xfId="0"/>
    <xf numFmtId="0" fontId="0" fillId="8" borderId="17" pivotButton="0" quotePrefix="0" xfId="0"/>
    <xf numFmtId="165" fontId="0" fillId="8" borderId="21" pivotButton="0" quotePrefix="0" xfId="0"/>
    <xf numFmtId="0" fontId="0" fillId="8" borderId="22" pivotButton="0" quotePrefix="0" xfId="0"/>
    <xf numFmtId="165" fontId="0" fillId="8" borderId="25" pivotButton="0" quotePrefix="0" xfId="0"/>
    <xf numFmtId="0" fontId="0" fillId="8" borderId="26" pivotButton="0" quotePrefix="0" xfId="0"/>
    <xf numFmtId="3" fontId="0" fillId="8" borderId="26" pivotButton="0" quotePrefix="0" xfId="0"/>
    <xf numFmtId="0" fontId="0" fillId="8" borderId="27" pivotButton="0" quotePrefix="0" xfId="0"/>
    <xf numFmtId="0" fontId="0" fillId="9" borderId="0" pivotButton="0" quotePrefix="0" xfId="0"/>
    <xf numFmtId="0" fontId="10" fillId="9" borderId="0" pivotButton="0" quotePrefix="0" xfId="0"/>
    <xf numFmtId="0" fontId="10" fillId="9" borderId="0" applyAlignment="1" pivotButton="0" quotePrefix="0" xfId="0">
      <alignment wrapText="1"/>
    </xf>
    <xf numFmtId="0" fontId="10" fillId="9" borderId="0" applyAlignment="1" pivotButton="0" quotePrefix="0" xfId="0">
      <alignment vertical="top" wrapText="1"/>
    </xf>
    <xf numFmtId="0" fontId="0" fillId="9" borderId="1" pivotButton="0" quotePrefix="0" xfId="0"/>
    <xf numFmtId="0" fontId="10" fillId="9" borderId="1" pivotButton="0" quotePrefix="0" xfId="0"/>
    <xf numFmtId="0" fontId="10" fillId="9" borderId="1" applyAlignment="1" pivotButton="0" quotePrefix="0" xfId="0">
      <alignment wrapText="1"/>
    </xf>
    <xf numFmtId="0" fontId="10" fillId="9" borderId="1" applyAlignment="1" pivotButton="0" quotePrefix="0" xfId="0">
      <alignment vertical="top" wrapText="1"/>
    </xf>
    <xf numFmtId="165" fontId="0" fillId="8" borderId="16" pivotButton="0" quotePrefix="0" xfId="0"/>
    <xf numFmtId="165" fontId="0" fillId="8" borderId="26" pivotButton="0" quotePrefix="0" xfId="0"/>
    <xf numFmtId="0" fontId="0" fillId="10" borderId="0" pivotButton="0" quotePrefix="0" xfId="0"/>
    <xf numFmtId="0" fontId="3" fillId="10" borderId="0" pivotButton="0" quotePrefix="0" xfId="0"/>
    <xf numFmtId="0" fontId="3" fillId="10" borderId="2" pivotButton="0" quotePrefix="0" xfId="0"/>
    <xf numFmtId="0" fontId="3" fillId="10" borderId="4" pivotButton="0" quotePrefix="0" xfId="0"/>
    <xf numFmtId="0" fontId="3" fillId="10" borderId="2" applyAlignment="1" pivotButton="0" quotePrefix="0" xfId="0">
      <alignment wrapText="1"/>
    </xf>
    <xf numFmtId="0" fontId="3" fillId="10" borderId="4" applyAlignment="1" pivotButton="0" quotePrefix="0" xfId="0">
      <alignment wrapText="1"/>
    </xf>
    <xf numFmtId="0" fontId="3" fillId="10" borderId="2" applyAlignment="1" pivotButton="0" quotePrefix="0" xfId="0">
      <alignment horizontal="center" wrapText="1"/>
    </xf>
    <xf numFmtId="0" fontId="3" fillId="10" borderId="4" applyAlignment="1" pivotButton="0" quotePrefix="0" xfId="0">
      <alignment horizontal="center" wrapText="1"/>
    </xf>
    <xf numFmtId="0" fontId="3" fillId="10" borderId="2" applyAlignment="1" pivotButton="0" quotePrefix="0" xfId="0">
      <alignment horizontal="center" vertical="center" wrapText="1"/>
    </xf>
    <xf numFmtId="0" fontId="3" fillId="10" borderId="4" applyAlignment="1" pivotButton="0" quotePrefix="0" xfId="0">
      <alignment horizontal="center" vertical="center" wrapText="1"/>
    </xf>
    <xf numFmtId="0" fontId="0" fillId="10" borderId="1" pivotButton="0" quotePrefix="0" xfId="0"/>
    <xf numFmtId="0" fontId="3" fillId="10" borderId="1" pivotButton="0" quotePrefix="0" xfId="0"/>
    <xf numFmtId="0" fontId="3" fillId="10" borderId="5" pivotButton="0" quotePrefix="0" xfId="0"/>
    <xf numFmtId="0" fontId="3" fillId="10" borderId="7" pivotButton="0" quotePrefix="0" xfId="0"/>
    <xf numFmtId="0" fontId="3" fillId="10" borderId="5" applyAlignment="1" pivotButton="0" quotePrefix="0" xfId="0">
      <alignment wrapText="1"/>
    </xf>
    <xf numFmtId="0" fontId="3" fillId="10" borderId="7" applyAlignment="1" pivotButton="0" quotePrefix="0" xfId="0">
      <alignment wrapText="1"/>
    </xf>
    <xf numFmtId="0" fontId="3" fillId="10" borderId="5" applyAlignment="1" pivotButton="0" quotePrefix="0" xfId="0">
      <alignment horizontal="center" wrapText="1"/>
    </xf>
    <xf numFmtId="0" fontId="3" fillId="10" borderId="7" applyAlignment="1" pivotButton="0" quotePrefix="0" xfId="0">
      <alignment horizontal="center" wrapText="1"/>
    </xf>
    <xf numFmtId="0" fontId="3" fillId="10" borderId="5" applyAlignment="1" pivotButton="0" quotePrefix="0" xfId="0">
      <alignment horizontal="center" vertical="center" wrapText="1"/>
    </xf>
    <xf numFmtId="0" fontId="3" fillId="10" borderId="7" applyAlignment="1" pivotButton="0" quotePrefix="0" xfId="0">
      <alignment horizontal="center" vertical="center" wrapText="1"/>
    </xf>
    <xf numFmtId="0" fontId="3" fillId="10" borderId="8" applyAlignment="1" pivotButton="0" quotePrefix="0" xfId="0">
      <alignment horizontal="center" vertical="center" wrapText="1"/>
    </xf>
    <xf numFmtId="0" fontId="3" fillId="10" borderId="10" applyAlignment="1" pivotButton="0" quotePrefix="0" xfId="0">
      <alignment horizontal="center" vertical="center" wrapText="1"/>
    </xf>
    <xf numFmtId="3" fontId="0" fillId="0" borderId="12" pivotButton="0" quotePrefix="0" xfId="0"/>
    <xf numFmtId="3" fontId="0" fillId="0" borderId="17" pivotButton="0" quotePrefix="0" xfId="0"/>
    <xf numFmtId="0" fontId="3" fillId="10" borderId="18" applyAlignment="1" pivotButton="0" quotePrefix="0" xfId="0">
      <alignment horizontal="center" vertical="center" wrapText="1"/>
    </xf>
    <xf numFmtId="0" fontId="3" fillId="10" borderId="20" applyAlignment="1" pivotButton="0" quotePrefix="0" xfId="0">
      <alignment horizontal="center" vertical="center" wrapText="1"/>
    </xf>
    <xf numFmtId="3" fontId="0" fillId="0" borderId="22" pivotButton="0" quotePrefix="0" xfId="0"/>
    <xf numFmtId="3" fontId="0" fillId="0" borderId="27" pivotButton="0" quotePrefix="0" xfId="0"/>
    <xf numFmtId="3" fontId="0" fillId="9" borderId="0" pivotButton="0" quotePrefix="0" xfId="0"/>
    <xf numFmtId="3" fontId="10" fillId="9" borderId="0" pivotButton="0" quotePrefix="0" xfId="0"/>
    <xf numFmtId="3" fontId="0" fillId="9" borderId="1" pivotButton="0" quotePrefix="0" xfId="0"/>
    <xf numFmtId="3" fontId="10" fillId="9" borderId="1" pivotButton="0" quotePrefix="0" xfId="0"/>
    <xf numFmtId="0" fontId="10" fillId="9" borderId="15" pivotButton="0" quotePrefix="0" xfId="0"/>
    <xf numFmtId="3" fontId="10" fillId="9" borderId="16" pivotButton="0" quotePrefix="0" xfId="0"/>
    <xf numFmtId="0" fontId="10" fillId="9" borderId="17" pivotButton="0" quotePrefix="0" xfId="0"/>
    <xf numFmtId="0" fontId="10" fillId="9" borderId="25" pivotButton="0" quotePrefix="0" xfId="0"/>
    <xf numFmtId="3" fontId="10" fillId="9" borderId="26" pivotButton="0" quotePrefix="0" xfId="0"/>
    <xf numFmtId="0" fontId="10" fillId="9" borderId="27" pivotButton="0" quotePrefix="0" xfId="0"/>
    <xf numFmtId="0" fontId="0" fillId="11" borderId="0" pivotButton="0" quotePrefix="0" xfId="0"/>
    <xf numFmtId="0" fontId="11" fillId="11" borderId="0" pivotButton="0" quotePrefix="0" xfId="0"/>
    <xf numFmtId="0" fontId="11" fillId="11" borderId="0" applyAlignment="1" pivotButton="0" quotePrefix="0" xfId="0">
      <alignment horizontal="center"/>
    </xf>
    <xf numFmtId="0" fontId="0" fillId="11" borderId="1" pivotButton="0" quotePrefix="0" xfId="0"/>
    <xf numFmtId="0" fontId="11" fillId="11" borderId="1" pivotButton="0" quotePrefix="0" xfId="0"/>
    <xf numFmtId="0" fontId="11" fillId="11" borderId="1" applyAlignment="1" pivotButton="0" quotePrefix="0" xfId="0">
      <alignment horizontal="center"/>
    </xf>
    <xf numFmtId="0" fontId="0" fillId="12" borderId="0" pivotButton="0" quotePrefix="0" xfId="0"/>
    <xf numFmtId="0" fontId="12" fillId="12" borderId="0" pivotButton="0" quotePrefix="0" xfId="0"/>
    <xf numFmtId="0" fontId="12" fillId="12" borderId="0" applyAlignment="1" pivotButton="0" quotePrefix="0" xfId="0">
      <alignment horizontal="center"/>
    </xf>
    <xf numFmtId="0" fontId="12" fillId="12" borderId="0" applyAlignment="1" pivotButton="0" quotePrefix="0" xfId="0">
      <alignment horizontal="center" vertical="center"/>
    </xf>
    <xf numFmtId="0" fontId="0" fillId="12" borderId="1" pivotButton="0" quotePrefix="0" xfId="0"/>
    <xf numFmtId="0" fontId="12" fillId="12" borderId="1" pivotButton="0" quotePrefix="0" xfId="0"/>
    <xf numFmtId="0" fontId="12" fillId="12" borderId="1" applyAlignment="1" pivotButton="0" quotePrefix="0" xfId="0">
      <alignment horizontal="center"/>
    </xf>
    <xf numFmtId="0" fontId="12" fillId="12" borderId="1" applyAlignment="1" pivotButton="0" quotePrefix="0" xfId="0">
      <alignment horizontal="center" vertical="center"/>
    </xf>
    <xf numFmtId="3" fontId="12" fillId="12" borderId="0" applyAlignment="1" pivotButton="0" quotePrefix="0" xfId="0">
      <alignment horizontal="center" vertical="center"/>
    </xf>
    <xf numFmtId="3" fontId="12" fillId="12" borderId="1" applyAlignment="1" pivotButton="0" quotePrefix="0" xfId="0">
      <alignment horizontal="center" vertical="center"/>
    </xf>
    <xf numFmtId="0" fontId="0" fillId="13" borderId="0" pivotButton="0" quotePrefix="0" xfId="0"/>
    <xf numFmtId="0" fontId="3" fillId="13" borderId="0" pivotButton="0" quotePrefix="0" xfId="0"/>
    <xf numFmtId="0" fontId="3" fillId="13" borderId="2" pivotButton="0" quotePrefix="0" xfId="0"/>
    <xf numFmtId="0" fontId="3" fillId="13" borderId="3" pivotButton="0" quotePrefix="0" xfId="0"/>
    <xf numFmtId="0" fontId="3" fillId="13" borderId="4" pivotButton="0" quotePrefix="0" xfId="0"/>
    <xf numFmtId="0" fontId="3" fillId="13" borderId="2" applyAlignment="1" pivotButton="0" quotePrefix="0" xfId="0">
      <alignment wrapText="1"/>
    </xf>
    <xf numFmtId="0" fontId="3" fillId="13" borderId="3" applyAlignment="1" pivotButton="0" quotePrefix="0" xfId="0">
      <alignment wrapText="1"/>
    </xf>
    <xf numFmtId="0" fontId="3" fillId="13" borderId="4" applyAlignment="1" pivotButton="0" quotePrefix="0" xfId="0">
      <alignment wrapText="1"/>
    </xf>
    <xf numFmtId="0" fontId="3" fillId="13" borderId="2" applyAlignment="1" pivotButton="0" quotePrefix="0" xfId="0">
      <alignment horizontal="center" wrapText="1"/>
    </xf>
    <xf numFmtId="0" fontId="3" fillId="13" borderId="3" applyAlignment="1" pivotButton="0" quotePrefix="0" xfId="0">
      <alignment horizontal="center" wrapText="1"/>
    </xf>
    <xf numFmtId="0" fontId="3" fillId="13" borderId="4" applyAlignment="1" pivotButton="0" quotePrefix="0" xfId="0">
      <alignment horizontal="center" wrapText="1"/>
    </xf>
    <xf numFmtId="0" fontId="3" fillId="13" borderId="2" applyAlignment="1" pivotButton="0" quotePrefix="0" xfId="0">
      <alignment horizontal="center" vertical="center" wrapText="1"/>
    </xf>
    <xf numFmtId="0" fontId="3" fillId="13" borderId="3" applyAlignment="1" pivotButton="0" quotePrefix="0" xfId="0">
      <alignment horizontal="center" vertical="center" wrapText="1"/>
    </xf>
    <xf numFmtId="0" fontId="3" fillId="13" borderId="4" applyAlignment="1" pivotButton="0" quotePrefix="0" xfId="0">
      <alignment horizontal="center" vertical="center" wrapText="1"/>
    </xf>
    <xf numFmtId="0" fontId="0" fillId="13" borderId="1" pivotButton="0" quotePrefix="0" xfId="0"/>
    <xf numFmtId="0" fontId="3" fillId="13" borderId="1" pivotButton="0" quotePrefix="0" xfId="0"/>
    <xf numFmtId="0" fontId="3" fillId="13" borderId="5" pivotButton="0" quotePrefix="0" xfId="0"/>
    <xf numFmtId="0" fontId="3" fillId="13" borderId="6" pivotButton="0" quotePrefix="0" xfId="0"/>
    <xf numFmtId="0" fontId="3" fillId="13" borderId="7" pivotButton="0" quotePrefix="0" xfId="0"/>
    <xf numFmtId="0" fontId="3" fillId="13" borderId="5" applyAlignment="1" pivotButton="0" quotePrefix="0" xfId="0">
      <alignment wrapText="1"/>
    </xf>
    <xf numFmtId="0" fontId="3" fillId="13" borderId="6" applyAlignment="1" pivotButton="0" quotePrefix="0" xfId="0">
      <alignment wrapText="1"/>
    </xf>
    <xf numFmtId="0" fontId="3" fillId="13" borderId="7" applyAlignment="1" pivotButton="0" quotePrefix="0" xfId="0">
      <alignment wrapText="1"/>
    </xf>
    <xf numFmtId="0" fontId="3" fillId="13" borderId="5" applyAlignment="1" pivotButton="0" quotePrefix="0" xfId="0">
      <alignment horizontal="center" wrapText="1"/>
    </xf>
    <xf numFmtId="0" fontId="3" fillId="13" borderId="6" applyAlignment="1" pivotButton="0" quotePrefix="0" xfId="0">
      <alignment horizontal="center" wrapText="1"/>
    </xf>
    <xf numFmtId="0" fontId="3" fillId="13" borderId="7" applyAlignment="1" pivotButton="0" quotePrefix="0" xfId="0">
      <alignment horizontal="center" wrapText="1"/>
    </xf>
    <xf numFmtId="0" fontId="3" fillId="13" borderId="5" applyAlignment="1" pivotButton="0" quotePrefix="0" xfId="0">
      <alignment horizontal="center" vertical="center" wrapText="1"/>
    </xf>
    <xf numFmtId="0" fontId="3" fillId="13" borderId="6" applyAlignment="1" pivotButton="0" quotePrefix="0" xfId="0">
      <alignment horizontal="center" vertical="center" wrapText="1"/>
    </xf>
    <xf numFmtId="0" fontId="3" fillId="13" borderId="7" applyAlignment="1" pivotButton="0" quotePrefix="0" xfId="0">
      <alignment horizontal="center" vertical="center" wrapText="1"/>
    </xf>
    <xf numFmtId="0" fontId="3" fillId="13" borderId="8" applyAlignment="1" pivotButton="0" quotePrefix="0" xfId="0">
      <alignment horizontal="center" vertical="center" wrapText="1"/>
    </xf>
    <xf numFmtId="0" fontId="3" fillId="13" borderId="9" applyAlignment="1" pivotButton="0" quotePrefix="0" xfId="0">
      <alignment horizontal="center" vertical="center" wrapText="1"/>
    </xf>
    <xf numFmtId="0" fontId="3" fillId="13" borderId="10" applyAlignment="1" pivotButton="0" quotePrefix="0" xfId="0">
      <alignment horizontal="center" vertical="center" wrapText="1"/>
    </xf>
    <xf numFmtId="0" fontId="3" fillId="13" borderId="18" applyAlignment="1" pivotButton="0" quotePrefix="0" xfId="0">
      <alignment horizontal="center" vertical="center" wrapText="1"/>
    </xf>
    <xf numFmtId="0" fontId="3" fillId="13" borderId="19" applyAlignment="1" pivotButton="0" quotePrefix="0" xfId="0">
      <alignment horizontal="center" vertical="center" wrapText="1"/>
    </xf>
    <xf numFmtId="0" fontId="3" fillId="13" borderId="20" applyAlignment="1" pivotButton="0" quotePrefix="0" xfId="0">
      <alignment horizontal="center" vertical="center" wrapText="1"/>
    </xf>
    <xf numFmtId="0" fontId="0" fillId="14" borderId="0" pivotButton="0" quotePrefix="0" xfId="0"/>
    <xf numFmtId="0" fontId="3" fillId="14" borderId="0" pivotButton="0" quotePrefix="0" xfId="0"/>
    <xf numFmtId="0" fontId="3" fillId="14" borderId="2" pivotButton="0" quotePrefix="0" xfId="0"/>
    <xf numFmtId="0" fontId="3" fillId="14" borderId="3" pivotButton="0" quotePrefix="0" xfId="0"/>
    <xf numFmtId="0" fontId="3" fillId="14" borderId="4" pivotButton="0" quotePrefix="0" xfId="0"/>
    <xf numFmtId="0" fontId="3" fillId="14" borderId="2" applyAlignment="1" pivotButton="0" quotePrefix="0" xfId="0">
      <alignment wrapText="1"/>
    </xf>
    <xf numFmtId="0" fontId="3" fillId="14" borderId="3" applyAlignment="1" pivotButton="0" quotePrefix="0" xfId="0">
      <alignment wrapText="1"/>
    </xf>
    <xf numFmtId="0" fontId="3" fillId="14" borderId="4" applyAlignment="1" pivotButton="0" quotePrefix="0" xfId="0">
      <alignment wrapText="1"/>
    </xf>
    <xf numFmtId="0" fontId="3" fillId="14" borderId="2" applyAlignment="1" pivotButton="0" quotePrefix="0" xfId="0">
      <alignment horizontal="center" wrapText="1"/>
    </xf>
    <xf numFmtId="0" fontId="3" fillId="14" borderId="3" applyAlignment="1" pivotButton="0" quotePrefix="0" xfId="0">
      <alignment horizontal="center" wrapText="1"/>
    </xf>
    <xf numFmtId="0" fontId="3" fillId="14" borderId="4" applyAlignment="1" pivotButton="0" quotePrefix="0" xfId="0">
      <alignment horizontal="center" wrapText="1"/>
    </xf>
    <xf numFmtId="0" fontId="3" fillId="14" borderId="2" applyAlignment="1" pivotButton="0" quotePrefix="0" xfId="0">
      <alignment horizontal="center" vertical="center" wrapText="1"/>
    </xf>
    <xf numFmtId="0" fontId="3" fillId="14" borderId="3" applyAlignment="1" pivotButton="0" quotePrefix="0" xfId="0">
      <alignment horizontal="center" vertical="center" wrapText="1"/>
    </xf>
    <xf numFmtId="0" fontId="3" fillId="14" borderId="4" applyAlignment="1" pivotButton="0" quotePrefix="0" xfId="0">
      <alignment horizontal="center" vertical="center" wrapText="1"/>
    </xf>
    <xf numFmtId="0" fontId="0" fillId="14" borderId="1" pivotButton="0" quotePrefix="0" xfId="0"/>
    <xf numFmtId="0" fontId="3" fillId="14" borderId="1" pivotButton="0" quotePrefix="0" xfId="0"/>
    <xf numFmtId="0" fontId="3" fillId="14" borderId="5" pivotButton="0" quotePrefix="0" xfId="0"/>
    <xf numFmtId="0" fontId="3" fillId="14" borderId="6" pivotButton="0" quotePrefix="0" xfId="0"/>
    <xf numFmtId="0" fontId="3" fillId="14" borderId="7" pivotButton="0" quotePrefix="0" xfId="0"/>
    <xf numFmtId="0" fontId="3" fillId="14" borderId="5" applyAlignment="1" pivotButton="0" quotePrefix="0" xfId="0">
      <alignment wrapText="1"/>
    </xf>
    <xf numFmtId="0" fontId="3" fillId="14" borderId="6" applyAlignment="1" pivotButton="0" quotePrefix="0" xfId="0">
      <alignment wrapText="1"/>
    </xf>
    <xf numFmtId="0" fontId="3" fillId="14" borderId="7" applyAlignment="1" pivotButton="0" quotePrefix="0" xfId="0">
      <alignment wrapText="1"/>
    </xf>
    <xf numFmtId="0" fontId="3" fillId="14" borderId="5" applyAlignment="1" pivotButton="0" quotePrefix="0" xfId="0">
      <alignment horizontal="center" wrapText="1"/>
    </xf>
    <xf numFmtId="0" fontId="3" fillId="14" borderId="6" applyAlignment="1" pivotButton="0" quotePrefix="0" xfId="0">
      <alignment horizontal="center" wrapText="1"/>
    </xf>
    <xf numFmtId="0" fontId="3" fillId="14" borderId="7" applyAlignment="1" pivotButton="0" quotePrefix="0" xfId="0">
      <alignment horizontal="center" wrapText="1"/>
    </xf>
    <xf numFmtId="0" fontId="3" fillId="14" borderId="5" applyAlignment="1" pivotButton="0" quotePrefix="0" xfId="0">
      <alignment horizontal="center" vertical="center" wrapText="1"/>
    </xf>
    <xf numFmtId="0" fontId="3" fillId="14" borderId="6" applyAlignment="1" pivotButton="0" quotePrefix="0" xfId="0">
      <alignment horizontal="center" vertical="center" wrapText="1"/>
    </xf>
    <xf numFmtId="0" fontId="3" fillId="14" borderId="7" applyAlignment="1" pivotButton="0" quotePrefix="0" xfId="0">
      <alignment horizontal="center" vertical="center" wrapText="1"/>
    </xf>
    <xf numFmtId="0" fontId="3" fillId="14" borderId="8" applyAlignment="1" pivotButton="0" quotePrefix="0" xfId="0">
      <alignment horizontal="center" vertical="center" wrapText="1"/>
    </xf>
    <xf numFmtId="0" fontId="3" fillId="14" borderId="9" applyAlignment="1" pivotButton="0" quotePrefix="0" xfId="0">
      <alignment horizontal="center" vertical="center" wrapText="1"/>
    </xf>
    <xf numFmtId="0" fontId="3" fillId="14" borderId="10" applyAlignment="1" pivotButton="0" quotePrefix="0" xfId="0">
      <alignment horizontal="center" vertical="center" wrapText="1"/>
    </xf>
    <xf numFmtId="0" fontId="3" fillId="14" borderId="18" applyAlignment="1" pivotButton="0" quotePrefix="0" xfId="0">
      <alignment horizontal="center" vertical="center" wrapText="1"/>
    </xf>
    <xf numFmtId="0" fontId="3" fillId="14" borderId="19" applyAlignment="1" pivotButton="0" quotePrefix="0" xfId="0">
      <alignment horizontal="center" vertical="center" wrapText="1"/>
    </xf>
    <xf numFmtId="0" fontId="3" fillId="14" borderId="20" applyAlignment="1" pivotButton="0" quotePrefix="0" xfId="0">
      <alignment horizontal="center" vertical="center" wrapText="1"/>
    </xf>
    <xf numFmtId="0" fontId="0" fillId="15" borderId="0" pivotButton="0" quotePrefix="0" xfId="0"/>
    <xf numFmtId="0" fontId="13" fillId="15" borderId="0" pivotButton="0" quotePrefix="0" xfId="0"/>
    <xf numFmtId="0" fontId="0" fillId="15" borderId="1" pivotButton="0" quotePrefix="0" xfId="0"/>
    <xf numFmtId="0" fontId="13" fillId="15" borderId="1" pivotButton="0" quotePrefix="0" xfId="0"/>
    <xf numFmtId="3" fontId="13" fillId="15" borderId="0" pivotButton="0" quotePrefix="0" xfId="0"/>
    <xf numFmtId="3" fontId="13" fillId="15" borderId="1" pivotButton="0" quotePrefix="0" xfId="0"/>
    <xf numFmtId="0" fontId="11" fillId="3" borderId="0" pivotButton="0" quotePrefix="0" xfId="0"/>
    <xf numFmtId="0" fontId="11" fillId="3" borderId="0" applyAlignment="1" pivotButton="0" quotePrefix="0" xfId="0">
      <alignment wrapText="1"/>
    </xf>
    <xf numFmtId="0" fontId="11" fillId="3" borderId="1" pivotButton="0" quotePrefix="0" xfId="0"/>
    <xf numFmtId="0" fontId="11" fillId="3" borderId="1" applyAlignment="1" pivotButton="0" quotePrefix="0" xfId="0">
      <alignment wrapText="1"/>
    </xf>
    <xf numFmtId="0" fontId="0" fillId="6" borderId="17" pivotButton="0" quotePrefix="0" xfId="0"/>
    <xf numFmtId="0" fontId="0" fillId="6" borderId="27" pivotButton="0" quotePrefix="0" xfId="0"/>
    <xf numFmtId="0" fontId="0" fillId="16" borderId="0" pivotButton="0" quotePrefix="0" xfId="0"/>
    <xf numFmtId="0" fontId="3" fillId="16" borderId="0" pivotButton="0" quotePrefix="0" xfId="0"/>
    <xf numFmtId="0" fontId="3" fillId="16" borderId="2" pivotButton="0" quotePrefix="0" xfId="0"/>
    <xf numFmtId="0" fontId="3" fillId="16" borderId="3" pivotButton="0" quotePrefix="0" xfId="0"/>
    <xf numFmtId="0" fontId="3" fillId="16" borderId="4" pivotButton="0" quotePrefix="0" xfId="0"/>
    <xf numFmtId="0" fontId="3" fillId="16" borderId="2" applyAlignment="1" pivotButton="0" quotePrefix="0" xfId="0">
      <alignment wrapText="1"/>
    </xf>
    <xf numFmtId="0" fontId="3" fillId="16" borderId="3" applyAlignment="1" pivotButton="0" quotePrefix="0" xfId="0">
      <alignment wrapText="1"/>
    </xf>
    <xf numFmtId="0" fontId="3" fillId="16" borderId="4" applyAlignment="1" pivotButton="0" quotePrefix="0" xfId="0">
      <alignment wrapText="1"/>
    </xf>
    <xf numFmtId="0" fontId="3" fillId="16" borderId="2" applyAlignment="1" pivotButton="0" quotePrefix="0" xfId="0">
      <alignment horizontal="center" wrapText="1"/>
    </xf>
    <xf numFmtId="0" fontId="3" fillId="16" borderId="3" applyAlignment="1" pivotButton="0" quotePrefix="0" xfId="0">
      <alignment horizontal="center" wrapText="1"/>
    </xf>
    <xf numFmtId="0" fontId="3" fillId="16" borderId="4" applyAlignment="1" pivotButton="0" quotePrefix="0" xfId="0">
      <alignment horizontal="center" wrapText="1"/>
    </xf>
    <xf numFmtId="0" fontId="3" fillId="16" borderId="2" applyAlignment="1" pivotButton="0" quotePrefix="0" xfId="0">
      <alignment horizontal="center" vertical="center" wrapText="1"/>
    </xf>
    <xf numFmtId="0" fontId="3" fillId="16" borderId="3" applyAlignment="1" pivotButton="0" quotePrefix="0" xfId="0">
      <alignment horizontal="center" vertical="center" wrapText="1"/>
    </xf>
    <xf numFmtId="0" fontId="3" fillId="16" borderId="4" applyAlignment="1" pivotButton="0" quotePrefix="0" xfId="0">
      <alignment horizontal="center" vertical="center" wrapText="1"/>
    </xf>
    <xf numFmtId="0" fontId="0" fillId="16" borderId="1" pivotButton="0" quotePrefix="0" xfId="0"/>
    <xf numFmtId="0" fontId="3" fillId="16" borderId="1" pivotButton="0" quotePrefix="0" xfId="0"/>
    <xf numFmtId="0" fontId="3" fillId="16" borderId="5" pivotButton="0" quotePrefix="0" xfId="0"/>
    <xf numFmtId="0" fontId="3" fillId="16" borderId="6" pivotButton="0" quotePrefix="0" xfId="0"/>
    <xf numFmtId="0" fontId="3" fillId="16" borderId="7" pivotButton="0" quotePrefix="0" xfId="0"/>
    <xf numFmtId="0" fontId="3" fillId="16" borderId="5" applyAlignment="1" pivotButton="0" quotePrefix="0" xfId="0">
      <alignment wrapText="1"/>
    </xf>
    <xf numFmtId="0" fontId="3" fillId="16" borderId="6" applyAlignment="1" pivotButton="0" quotePrefix="0" xfId="0">
      <alignment wrapText="1"/>
    </xf>
    <xf numFmtId="0" fontId="3" fillId="16" borderId="7" applyAlignment="1" pivotButton="0" quotePrefix="0" xfId="0">
      <alignment wrapText="1"/>
    </xf>
    <xf numFmtId="0" fontId="3" fillId="16" borderId="5" applyAlignment="1" pivotButton="0" quotePrefix="0" xfId="0">
      <alignment horizontal="center" wrapText="1"/>
    </xf>
    <xf numFmtId="0" fontId="3" fillId="16" borderId="6" applyAlignment="1" pivotButton="0" quotePrefix="0" xfId="0">
      <alignment horizontal="center" wrapText="1"/>
    </xf>
    <xf numFmtId="0" fontId="3" fillId="16" borderId="7" applyAlignment="1" pivotButton="0" quotePrefix="0" xfId="0">
      <alignment horizontal="center" wrapText="1"/>
    </xf>
    <xf numFmtId="0" fontId="3" fillId="16" borderId="5" applyAlignment="1" pivotButton="0" quotePrefix="0" xfId="0">
      <alignment horizontal="center" vertical="center" wrapText="1"/>
    </xf>
    <xf numFmtId="0" fontId="3" fillId="16" borderId="6" applyAlignment="1" pivotButton="0" quotePrefix="0" xfId="0">
      <alignment horizontal="center" vertical="center" wrapText="1"/>
    </xf>
    <xf numFmtId="0" fontId="3" fillId="16" borderId="7" applyAlignment="1" pivotButton="0" quotePrefix="0" xfId="0">
      <alignment horizontal="center" vertical="center" wrapText="1"/>
    </xf>
    <xf numFmtId="0" fontId="3" fillId="16" borderId="8" applyAlignment="1" pivotButton="0" quotePrefix="0" xfId="0">
      <alignment horizontal="center" vertical="center" wrapText="1"/>
    </xf>
    <xf numFmtId="0" fontId="3" fillId="16" borderId="9" applyAlignment="1" pivotButton="0" quotePrefix="0" xfId="0">
      <alignment horizontal="center" vertical="center" wrapText="1"/>
    </xf>
    <xf numFmtId="0" fontId="3" fillId="16" borderId="10" applyAlignment="1" pivotButton="0" quotePrefix="0" xfId="0">
      <alignment horizontal="center" vertical="center" wrapText="1"/>
    </xf>
    <xf numFmtId="0" fontId="3" fillId="16" borderId="18" applyAlignment="1" pivotButton="0" quotePrefix="0" xfId="0">
      <alignment horizontal="center" vertical="center" wrapText="1"/>
    </xf>
    <xf numFmtId="0" fontId="3" fillId="16" borderId="19" applyAlignment="1" pivotButton="0" quotePrefix="0" xfId="0">
      <alignment horizontal="center" vertical="center" wrapText="1"/>
    </xf>
    <xf numFmtId="0" fontId="3" fillId="16" borderId="20" applyAlignment="1" pivotButton="0" quotePrefix="0" xfId="0">
      <alignment horizontal="center" vertical="center" wrapText="1"/>
    </xf>
    <xf numFmtId="0" fontId="0" fillId="6" borderId="16" pivotButton="0" quotePrefix="0" xfId="0"/>
    <xf numFmtId="0" fontId="0" fillId="6" borderId="26" pivotButton="0" quotePrefix="0" xfId="0"/>
    <xf numFmtId="0" fontId="5" fillId="6" borderId="12" pivotButton="0" quotePrefix="0" xfId="0"/>
    <xf numFmtId="164" fontId="5" fillId="6" borderId="12" pivotButton="0" quotePrefix="0" xfId="0"/>
    <xf numFmtId="0" fontId="5" fillId="0" borderId="15" pivotButton="0" quotePrefix="0" xfId="0"/>
    <xf numFmtId="165" fontId="5" fillId="6" borderId="17" pivotButton="0" quotePrefix="0" xfId="0"/>
    <xf numFmtId="0" fontId="5" fillId="6" borderId="22" pivotButton="0" quotePrefix="0" xfId="0"/>
    <xf numFmtId="164" fontId="5" fillId="6" borderId="22" pivotButton="0" quotePrefix="0" xfId="0"/>
    <xf numFmtId="0" fontId="5" fillId="0" borderId="25" pivotButton="0" quotePrefix="0" xfId="0"/>
    <xf numFmtId="165" fontId="5" fillId="6" borderId="27" pivotButton="0" quotePrefix="0" xfId="0"/>
    <xf numFmtId="0" fontId="14" fillId="6" borderId="0" applyAlignment="1" pivotButton="0" quotePrefix="0" xfId="0">
      <alignment vertical="top" wrapText="1"/>
    </xf>
    <xf numFmtId="0" fontId="14" fillId="6" borderId="1" applyAlignment="1" pivotButton="0" quotePrefix="0" xfId="0">
      <alignment vertical="top" wrapText="1"/>
    </xf>
    <xf numFmtId="0" fontId="15" fillId="7" borderId="0" applyAlignment="1" pivotButton="0" quotePrefix="0" xfId="0">
      <alignment wrapText="1"/>
    </xf>
    <xf numFmtId="3" fontId="5" fillId="0" borderId="0" pivotButton="0" quotePrefix="0" xfId="0"/>
    <xf numFmtId="3" fontId="5" fillId="6" borderId="0" pivotButton="0" quotePrefix="0" xfId="0"/>
    <xf numFmtId="3" fontId="5" fillId="0" borderId="16" pivotButton="0" quotePrefix="0" xfId="0"/>
    <xf numFmtId="3" fontId="5" fillId="6" borderId="16" pivotButton="0" quotePrefix="0" xfId="0"/>
    <xf numFmtId="0" fontId="5" fillId="0" borderId="16" pivotButton="0" quotePrefix="0" xfId="0"/>
    <xf numFmtId="0" fontId="5" fillId="0" borderId="17" pivotButton="0" quotePrefix="0" xfId="0"/>
    <xf numFmtId="165" fontId="5" fillId="8" borderId="11" pivotButton="0" quotePrefix="0" xfId="0"/>
    <xf numFmtId="0" fontId="5" fillId="8" borderId="0" pivotButton="0" quotePrefix="0" xfId="0"/>
    <xf numFmtId="3" fontId="5" fillId="8" borderId="0" pivotButton="0" quotePrefix="0" xfId="0"/>
    <xf numFmtId="0" fontId="5" fillId="8" borderId="12" pivotButton="0" quotePrefix="0" xfId="0"/>
    <xf numFmtId="165" fontId="5" fillId="8" borderId="15" pivotButton="0" quotePrefix="0" xfId="0"/>
    <xf numFmtId="0" fontId="5" fillId="8" borderId="16" pivotButton="0" quotePrefix="0" xfId="0"/>
    <xf numFmtId="3" fontId="5" fillId="8" borderId="16" pivotButton="0" quotePrefix="0" xfId="0"/>
    <xf numFmtId="0" fontId="5" fillId="8" borderId="17" pivotButton="0" quotePrefix="0" xfId="0"/>
    <xf numFmtId="165" fontId="5" fillId="8" borderId="0" pivotButton="0" quotePrefix="0" xfId="0"/>
    <xf numFmtId="0" fontId="15" fillId="7" borderId="1" applyAlignment="1" pivotButton="0" quotePrefix="0" xfId="0">
      <alignment wrapText="1"/>
    </xf>
    <xf numFmtId="3" fontId="5" fillId="0" borderId="1" pivotButton="0" quotePrefix="0" xfId="0"/>
    <xf numFmtId="3" fontId="5" fillId="6" borderId="1" pivotButton="0" quotePrefix="0" xfId="0"/>
    <xf numFmtId="3" fontId="5" fillId="0" borderId="26" pivotButton="0" quotePrefix="0" xfId="0"/>
    <xf numFmtId="3" fontId="5" fillId="6" borderId="26" pivotButton="0" quotePrefix="0" xfId="0"/>
    <xf numFmtId="0" fontId="5" fillId="0" borderId="26" pivotButton="0" quotePrefix="0" xfId="0"/>
    <xf numFmtId="0" fontId="5" fillId="0" borderId="27" pivotButton="0" quotePrefix="0" xfId="0"/>
    <xf numFmtId="165" fontId="5" fillId="8" borderId="21" pivotButton="0" quotePrefix="0" xfId="0"/>
    <xf numFmtId="0" fontId="5" fillId="8" borderId="1" pivotButton="0" quotePrefix="0" xfId="0"/>
    <xf numFmtId="3" fontId="5" fillId="8" borderId="1" pivotButton="0" quotePrefix="0" xfId="0"/>
    <xf numFmtId="0" fontId="5" fillId="8" borderId="22" pivotButton="0" quotePrefix="0" xfId="0"/>
    <xf numFmtId="165" fontId="5" fillId="8" borderId="25" pivotButton="0" quotePrefix="0" xfId="0"/>
    <xf numFmtId="0" fontId="5" fillId="8" borderId="26" pivotButton="0" quotePrefix="0" xfId="0"/>
    <xf numFmtId="3" fontId="5" fillId="8" borderId="26" pivotButton="0" quotePrefix="0" xfId="0"/>
    <xf numFmtId="0" fontId="5" fillId="8" borderId="27" pivotButton="0" quotePrefix="0" xfId="0"/>
    <xf numFmtId="165" fontId="5" fillId="8" borderId="1" pivotButton="0" quotePrefix="0" xfId="0"/>
    <xf numFmtId="0" fontId="16" fillId="9" borderId="0" applyAlignment="1" pivotButton="0" quotePrefix="0" xfId="0">
      <alignment vertical="top" wrapText="1"/>
    </xf>
    <xf numFmtId="165" fontId="5" fillId="8" borderId="16" pivotButton="0" quotePrefix="0" xfId="0"/>
    <xf numFmtId="0" fontId="16" fillId="9" borderId="1" applyAlignment="1" pivotButton="0" quotePrefix="0" xfId="0">
      <alignment vertical="top" wrapText="1"/>
    </xf>
    <xf numFmtId="165" fontId="5" fillId="8" borderId="26" pivotButton="0" quotePrefix="0" xfId="0"/>
    <xf numFmtId="0" fontId="4" fillId="10" borderId="8" applyAlignment="1" pivotButton="0" quotePrefix="0" xfId="0">
      <alignment horizontal="center" vertical="center" wrapText="1"/>
    </xf>
    <xf numFmtId="0" fontId="4" fillId="10" borderId="10" applyAlignment="1" pivotButton="0" quotePrefix="0" xfId="0">
      <alignment horizontal="center" vertical="center" wrapText="1"/>
    </xf>
    <xf numFmtId="0" fontId="14" fillId="6" borderId="0" applyAlignment="1" pivotButton="0" quotePrefix="0" xfId="0">
      <alignment wrapText="1"/>
    </xf>
    <xf numFmtId="3" fontId="5" fillId="0" borderId="12" pivotButton="0" quotePrefix="0" xfId="0"/>
    <xf numFmtId="0" fontId="16" fillId="9" borderId="15" pivotButton="0" quotePrefix="0" xfId="0"/>
    <xf numFmtId="3" fontId="16" fillId="9" borderId="16" pivotButton="0" quotePrefix="0" xfId="0"/>
    <xf numFmtId="0" fontId="16" fillId="9" borderId="17" pivotButton="0" quotePrefix="0" xfId="0"/>
    <xf numFmtId="0" fontId="6" fillId="11" borderId="0" applyAlignment="1" pivotButton="0" quotePrefix="0" xfId="0">
      <alignment horizontal="center"/>
    </xf>
    <xf numFmtId="3" fontId="17" fillId="12" borderId="0" applyAlignment="1" pivotButton="0" quotePrefix="0" xfId="0">
      <alignment horizontal="center" vertical="center"/>
    </xf>
    <xf numFmtId="0" fontId="4" fillId="13" borderId="8" applyAlignment="1" pivotButton="0" quotePrefix="0" xfId="0">
      <alignment horizontal="center" vertical="center" wrapText="1"/>
    </xf>
    <xf numFmtId="0" fontId="4" fillId="13" borderId="9" applyAlignment="1" pivotButton="0" quotePrefix="0" xfId="0">
      <alignment horizontal="center" vertical="center" wrapText="1"/>
    </xf>
    <xf numFmtId="0" fontId="4" fillId="13" borderId="10" applyAlignment="1" pivotButton="0" quotePrefix="0" xfId="0">
      <alignment horizontal="center" vertical="center" wrapText="1"/>
    </xf>
    <xf numFmtId="3" fontId="5" fillId="0" borderId="17" pivotButton="0" quotePrefix="0" xfId="0"/>
    <xf numFmtId="0" fontId="4" fillId="14" borderId="8" applyAlignment="1" pivotButton="0" quotePrefix="0" xfId="0">
      <alignment horizontal="center" vertical="center" wrapText="1"/>
    </xf>
    <xf numFmtId="0" fontId="4" fillId="14" borderId="9" applyAlignment="1" pivotButton="0" quotePrefix="0" xfId="0">
      <alignment horizontal="center" vertical="center" wrapText="1"/>
    </xf>
    <xf numFmtId="0" fontId="4" fillId="14" borderId="10" applyAlignment="1" pivotButton="0" quotePrefix="0" xfId="0">
      <alignment horizontal="center" vertical="center" wrapText="1"/>
    </xf>
    <xf numFmtId="0" fontId="18" fillId="15" borderId="0" pivotButton="0" quotePrefix="0" xfId="0"/>
    <xf numFmtId="3" fontId="18" fillId="15" borderId="0" pivotButton="0" quotePrefix="0" xfId="0"/>
    <xf numFmtId="0" fontId="4" fillId="10" borderId="18" applyAlignment="1" pivotButton="0" quotePrefix="0" xfId="0">
      <alignment horizontal="center" vertical="center" wrapText="1"/>
    </xf>
    <xf numFmtId="0" fontId="4" fillId="10" borderId="20" applyAlignment="1" pivotButton="0" quotePrefix="0" xfId="0">
      <alignment horizontal="center" vertical="center" wrapText="1"/>
    </xf>
    <xf numFmtId="0" fontId="14" fillId="6" borderId="1" applyAlignment="1" pivotButton="0" quotePrefix="0" xfId="0">
      <alignment wrapText="1"/>
    </xf>
    <xf numFmtId="3" fontId="5" fillId="0" borderId="22" pivotButton="0" quotePrefix="0" xfId="0"/>
    <xf numFmtId="0" fontId="16" fillId="9" borderId="25" pivotButton="0" quotePrefix="0" xfId="0"/>
    <xf numFmtId="3" fontId="16" fillId="9" borderId="26" pivotButton="0" quotePrefix="0" xfId="0"/>
    <xf numFmtId="0" fontId="16" fillId="9" borderId="27" pivotButton="0" quotePrefix="0" xfId="0"/>
    <xf numFmtId="0" fontId="6" fillId="11" borderId="1" applyAlignment="1" pivotButton="0" quotePrefix="0" xfId="0">
      <alignment horizontal="center"/>
    </xf>
    <xf numFmtId="3" fontId="17" fillId="12" borderId="1" applyAlignment="1" pivotButton="0" quotePrefix="0" xfId="0">
      <alignment horizontal="center" vertical="center"/>
    </xf>
    <xf numFmtId="0" fontId="4" fillId="13" borderId="18" applyAlignment="1" pivotButton="0" quotePrefix="0" xfId="0">
      <alignment horizontal="center" vertical="center" wrapText="1"/>
    </xf>
    <xf numFmtId="0" fontId="4" fillId="13" borderId="19" applyAlignment="1" pivotButton="0" quotePrefix="0" xfId="0">
      <alignment horizontal="center" vertical="center" wrapText="1"/>
    </xf>
    <xf numFmtId="0" fontId="4" fillId="13" borderId="20" applyAlignment="1" pivotButton="0" quotePrefix="0" xfId="0">
      <alignment horizontal="center" vertical="center" wrapText="1"/>
    </xf>
    <xf numFmtId="3" fontId="5" fillId="0" borderId="27" pivotButton="0" quotePrefix="0" xfId="0"/>
    <xf numFmtId="0" fontId="4" fillId="14" borderId="18" applyAlignment="1" pivotButton="0" quotePrefix="0" xfId="0">
      <alignment horizontal="center" vertical="center" wrapText="1"/>
    </xf>
    <xf numFmtId="0" fontId="4" fillId="14" borderId="19" applyAlignment="1" pivotButton="0" quotePrefix="0" xfId="0">
      <alignment horizontal="center" vertical="center" wrapText="1"/>
    </xf>
    <xf numFmtId="0" fontId="4" fillId="14" borderId="20" applyAlignment="1" pivotButton="0" quotePrefix="0" xfId="0">
      <alignment horizontal="center" vertical="center" wrapText="1"/>
    </xf>
    <xf numFmtId="0" fontId="18" fillId="15" borderId="1" pivotButton="0" quotePrefix="0" xfId="0"/>
    <xf numFmtId="3" fontId="18" fillId="15" borderId="1" pivotButton="0" quotePrefix="0" xfId="0"/>
    <xf numFmtId="0" fontId="6" fillId="3" borderId="0" applyAlignment="1" pivotButton="0" quotePrefix="0" xfId="0">
      <alignment wrapText="1"/>
    </xf>
    <xf numFmtId="0" fontId="5" fillId="6" borderId="17" pivotButton="0" quotePrefix="0" xfId="0"/>
    <xf numFmtId="0" fontId="4" fillId="16" borderId="8" applyAlignment="1" pivotButton="0" quotePrefix="0" xfId="0">
      <alignment horizontal="center" vertical="center" wrapText="1"/>
    </xf>
    <xf numFmtId="0" fontId="4" fillId="16" borderId="9" applyAlignment="1" pivotButton="0" quotePrefix="0" xfId="0">
      <alignment horizontal="center" vertical="center" wrapText="1"/>
    </xf>
    <xf numFmtId="0" fontId="4" fillId="16" borderId="10" applyAlignment="1" pivotButton="0" quotePrefix="0" xfId="0">
      <alignment horizontal="center" vertical="center" wrapText="1"/>
    </xf>
    <xf numFmtId="0" fontId="6" fillId="3" borderId="1" applyAlignment="1" pivotButton="0" quotePrefix="0" xfId="0">
      <alignment wrapText="1"/>
    </xf>
    <xf numFmtId="0" fontId="5" fillId="6" borderId="27" pivotButton="0" quotePrefix="0" xfId="0"/>
    <xf numFmtId="0" fontId="4" fillId="16" borderId="18" applyAlignment="1" pivotButton="0" quotePrefix="0" xfId="0">
      <alignment horizontal="center" vertical="center" wrapText="1"/>
    </xf>
    <xf numFmtId="0" fontId="4" fillId="16" borderId="19" applyAlignment="1" pivotButton="0" quotePrefix="0" xfId="0">
      <alignment horizontal="center" vertical="center" wrapText="1"/>
    </xf>
    <xf numFmtId="0" fontId="4" fillId="16" borderId="20" applyAlignment="1" pivotButton="0" quotePrefix="0" xfId="0">
      <alignment horizontal="center" vertical="center" wrapText="1"/>
    </xf>
    <xf numFmtId="0" fontId="5" fillId="6" borderId="0" pivotButton="0" quotePrefix="0" xfId="0"/>
    <xf numFmtId="0" fontId="5" fillId="6" borderId="16" pivotButton="0" quotePrefix="0" xfId="0"/>
    <xf numFmtId="0" fontId="5" fillId="6" borderId="1" pivotButton="0" quotePrefix="0" xfId="0"/>
    <xf numFmtId="0" fontId="5" fillId="6" borderId="26" pivotButton="0" quotePrefix="0" xfId="0"/>
    <xf numFmtId="0" fontId="19" fillId="2" borderId="0" applyAlignment="1" pivotButton="0" quotePrefix="0" xfId="0">
      <alignment horizontal="left" vertical="center"/>
    </xf>
    <xf numFmtId="0" fontId="19" fillId="0" borderId="0" pivotButton="0" quotePrefix="0" xfId="0"/>
    <xf numFmtId="0" fontId="19" fillId="2" borderId="1" applyAlignment="1" pivotButton="0" quotePrefix="0" xfId="0">
      <alignment horizontal="left" vertical="center"/>
    </xf>
    <xf numFmtId="0" fontId="19" fillId="0" borderId="1" pivotButton="0" quotePrefix="0" xfId="0"/>
    <xf numFmtId="0" fontId="3" fillId="4" borderId="0" applyAlignment="1" pivotButton="0" quotePrefix="0" xfId="0">
      <alignment wrapText="1"/>
    </xf>
    <xf numFmtId="0" fontId="3" fillId="4" borderId="0" applyAlignment="1" pivotButton="0" quotePrefix="0" xfId="0">
      <alignment horizontal="center" wrapText="1"/>
    </xf>
    <xf numFmtId="0" fontId="3" fillId="4" borderId="0" applyAlignment="1" pivotButton="0" quotePrefix="0" xfId="0">
      <alignment horizontal="center" vertical="center" wrapText="1"/>
    </xf>
    <xf numFmtId="0" fontId="3" fillId="5" borderId="0" applyAlignment="1" pivotButton="0" quotePrefix="0" xfId="0">
      <alignment wrapText="1"/>
    </xf>
    <xf numFmtId="0" fontId="3" fillId="5" borderId="0" applyAlignment="1" pivotButton="0" quotePrefix="0" xfId="0">
      <alignment horizontal="center" wrapText="1"/>
    </xf>
    <xf numFmtId="0" fontId="3" fillId="5" borderId="0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 wrapText="1"/>
    </xf>
    <xf numFmtId="0" fontId="4" fillId="5" borderId="0" applyAlignment="1" pivotButton="0" quotePrefix="0" xfId="0">
      <alignment horizontal="center" vertical="center" wrapText="1"/>
    </xf>
    <xf numFmtId="0" fontId="3" fillId="10" borderId="0" applyAlignment="1" pivotButton="0" quotePrefix="0" xfId="0">
      <alignment wrapText="1"/>
    </xf>
    <xf numFmtId="0" fontId="3" fillId="10" borderId="0" applyAlignment="1" pivotButton="0" quotePrefix="0" xfId="0">
      <alignment horizontal="center" wrapText="1"/>
    </xf>
    <xf numFmtId="0" fontId="3" fillId="10" borderId="0" applyAlignment="1" pivotButton="0" quotePrefix="0" xfId="0">
      <alignment horizontal="center" vertical="center" wrapText="1"/>
    </xf>
    <xf numFmtId="0" fontId="3" fillId="13" borderId="0" applyAlignment="1" pivotButton="0" quotePrefix="0" xfId="0">
      <alignment wrapText="1"/>
    </xf>
    <xf numFmtId="0" fontId="3" fillId="13" borderId="0" applyAlignment="1" pivotButton="0" quotePrefix="0" xfId="0">
      <alignment horizontal="center" wrapText="1"/>
    </xf>
    <xf numFmtId="0" fontId="3" fillId="13" borderId="0" applyAlignment="1" pivotButton="0" quotePrefix="0" xfId="0">
      <alignment horizontal="center" vertical="center" wrapText="1"/>
    </xf>
    <xf numFmtId="0" fontId="3" fillId="14" borderId="0" applyAlignment="1" pivotButton="0" quotePrefix="0" xfId="0">
      <alignment wrapText="1"/>
    </xf>
    <xf numFmtId="0" fontId="3" fillId="14" borderId="0" applyAlignment="1" pivotButton="0" quotePrefix="0" xfId="0">
      <alignment horizontal="center" wrapText="1"/>
    </xf>
    <xf numFmtId="0" fontId="3" fillId="14" borderId="0" applyAlignment="1" pivotButton="0" quotePrefix="0" xfId="0">
      <alignment horizontal="center" vertical="center" wrapText="1"/>
    </xf>
    <xf numFmtId="0" fontId="3" fillId="16" borderId="0" applyAlignment="1" pivotButton="0" quotePrefix="0" xfId="0">
      <alignment wrapText="1"/>
    </xf>
    <xf numFmtId="0" fontId="3" fillId="16" borderId="0" applyAlignment="1" pivotButton="0" quotePrefix="0" xfId="0">
      <alignment horizontal="center" wrapText="1"/>
    </xf>
    <xf numFmtId="0" fontId="3" fillId="16" borderId="0" applyAlignment="1" pivotButton="0" quotePrefix="0" xfId="0">
      <alignment horizontal="center" vertical="center" wrapText="1"/>
    </xf>
    <xf numFmtId="164" fontId="5" fillId="6" borderId="0" pivotButton="0" quotePrefix="0" xfId="0"/>
    <xf numFmtId="165" fontId="5" fillId="6" borderId="0" pivotButton="0" quotePrefix="0" xfId="0"/>
    <xf numFmtId="0" fontId="4" fillId="10" borderId="0" applyAlignment="1" pivotButton="0" quotePrefix="0" xfId="0">
      <alignment horizontal="center" vertical="center" wrapText="1"/>
    </xf>
    <xf numFmtId="0" fontId="16" fillId="9" borderId="0" pivotButton="0" quotePrefix="0" xfId="0"/>
    <xf numFmtId="3" fontId="16" fillId="9" borderId="0" pivotButton="0" quotePrefix="0" xfId="0"/>
    <xf numFmtId="0" fontId="4" fillId="13" borderId="0" applyAlignment="1" pivotButton="0" quotePrefix="0" xfId="0">
      <alignment horizontal="center" vertical="center" wrapText="1"/>
    </xf>
    <xf numFmtId="0" fontId="4" fillId="14" borderId="0" applyAlignment="1" pivotButton="0" quotePrefix="0" xfId="0">
      <alignment horizontal="center" vertical="center" wrapText="1"/>
    </xf>
    <xf numFmtId="0" fontId="4" fillId="16" borderId="0" applyAlignment="1" pivotButton="0" quotePrefix="0" xfId="0">
      <alignment horizontal="center" vertical="center" wrapText="1"/>
    </xf>
    <xf numFmtId="0" fontId="6" fillId="17" borderId="0" applyAlignment="1" pivotButton="0" quotePrefix="0" xfId="0">
      <alignment vertical="center" wrapText="1"/>
    </xf>
    <xf numFmtId="0" fontId="20" fillId="17" borderId="0" applyAlignment="1" pivotButton="0" quotePrefix="0" xfId="0">
      <alignment vertical="center" wrapText="1"/>
    </xf>
    <xf numFmtId="0" fontId="4" fillId="18" borderId="2" applyAlignment="1" pivotButton="0" quotePrefix="0" xfId="0">
      <alignment horizontal="center" vertical="center" wrapText="1"/>
    </xf>
    <xf numFmtId="0" fontId="4" fillId="18" borderId="3" applyAlignment="1" pivotButton="0" quotePrefix="0" xfId="0">
      <alignment horizontal="center" vertical="center" wrapText="1"/>
    </xf>
    <xf numFmtId="0" fontId="4" fillId="18" borderId="4" applyAlignment="1" pivotButton="0" quotePrefix="0" xfId="0">
      <alignment horizontal="center" vertical="center" wrapText="1"/>
    </xf>
    <xf numFmtId="0" fontId="4" fillId="18" borderId="0" applyAlignment="1" pivotButton="0" quotePrefix="0" xfId="0">
      <alignment horizontal="center" vertical="center" wrapText="1"/>
    </xf>
    <xf numFmtId="0" fontId="5" fillId="19" borderId="11" applyAlignment="1" pivotButton="0" quotePrefix="0" xfId="0">
      <alignment wrapText="1"/>
    </xf>
    <xf numFmtId="0" fontId="5" fillId="19" borderId="0" applyAlignment="1" pivotButton="0" quotePrefix="0" xfId="0">
      <alignment wrapText="1"/>
    </xf>
    <xf numFmtId="0" fontId="5" fillId="19" borderId="0" pivotButton="0" quotePrefix="0" xfId="0"/>
    <xf numFmtId="0" fontId="5" fillId="19" borderId="12" pivotButton="0" quotePrefix="0" xfId="0"/>
    <xf numFmtId="0" fontId="4" fillId="19" borderId="11" applyAlignment="1" pivotButton="0" quotePrefix="0" xfId="0">
      <alignment wrapText="1"/>
    </xf>
    <xf numFmtId="0" fontId="4" fillId="19" borderId="0" applyAlignment="1" pivotButton="0" quotePrefix="0" xfId="0">
      <alignment wrapText="1"/>
    </xf>
    <xf numFmtId="0" fontId="4" fillId="19" borderId="0" pivotButton="0" quotePrefix="0" xfId="0"/>
    <xf numFmtId="0" fontId="4" fillId="19" borderId="12" pivotButton="0" quotePrefix="0" xfId="0"/>
    <xf numFmtId="0" fontId="4" fillId="19" borderId="11" applyAlignment="1" pivotButton="0" quotePrefix="0" xfId="0">
      <alignment horizontal="left" wrapText="1"/>
    </xf>
    <xf numFmtId="0" fontId="4" fillId="19" borderId="0" applyAlignment="1" pivotButton="0" quotePrefix="0" xfId="0">
      <alignment horizontal="left" wrapText="1"/>
    </xf>
    <xf numFmtId="0" fontId="4" fillId="19" borderId="0" applyAlignment="1" pivotButton="0" quotePrefix="0" xfId="0">
      <alignment horizontal="left"/>
    </xf>
    <xf numFmtId="0" fontId="4" fillId="19" borderId="12" applyAlignment="1" pivotButton="0" quotePrefix="0" xfId="0">
      <alignment horizontal="left"/>
    </xf>
    <xf numFmtId="0" fontId="4" fillId="5" borderId="2" applyAlignment="1" pivotButton="0" quotePrefix="0" xfId="0">
      <alignment horizontal="center" vertical="center" wrapText="1"/>
    </xf>
    <xf numFmtId="0" fontId="4" fillId="5" borderId="4" applyAlignment="1" pivotButton="0" quotePrefix="0" xfId="0">
      <alignment horizontal="center" vertical="center" wrapText="1"/>
    </xf>
    <xf numFmtId="0" fontId="5" fillId="20" borderId="11" applyAlignment="1" pivotButton="0" quotePrefix="0" xfId="0">
      <alignment wrapText="1"/>
    </xf>
    <xf numFmtId="0" fontId="5" fillId="20" borderId="0" applyAlignment="1" pivotButton="0" quotePrefix="0" xfId="0">
      <alignment wrapText="1"/>
    </xf>
    <xf numFmtId="0" fontId="5" fillId="20" borderId="12" applyAlignment="1" pivotButton="0" quotePrefix="0" xfId="0">
      <alignment wrapText="1"/>
    </xf>
    <xf numFmtId="0" fontId="5" fillId="20" borderId="15" applyAlignment="1" pivotButton="0" quotePrefix="0" xfId="0">
      <alignment wrapText="1"/>
    </xf>
    <xf numFmtId="0" fontId="5" fillId="20" borderId="16" applyAlignment="1" pivotButton="0" quotePrefix="0" xfId="0">
      <alignment wrapText="1"/>
    </xf>
    <xf numFmtId="0" fontId="5" fillId="20" borderId="17" applyAlignment="1" pivotButton="0" quotePrefix="0" xfId="0">
      <alignment wrapText="1"/>
    </xf>
    <xf numFmtId="0" fontId="5" fillId="20" borderId="0" pivotButton="0" quotePrefix="0" xfId="0"/>
    <xf numFmtId="0" fontId="14" fillId="20" borderId="11" applyAlignment="1" pivotButton="0" quotePrefix="0" xfId="0">
      <alignment wrapText="1"/>
    </xf>
    <xf numFmtId="0" fontId="14" fillId="20" borderId="0" applyAlignment="1" pivotButton="0" quotePrefix="0" xfId="0">
      <alignment wrapText="1"/>
    </xf>
    <xf numFmtId="0" fontId="14" fillId="20" borderId="12" applyAlignment="1" pivotButton="0" quotePrefix="0" xfId="0">
      <alignment wrapText="1"/>
    </xf>
    <xf numFmtId="0" fontId="14" fillId="20" borderId="15" applyAlignment="1" pivotButton="0" quotePrefix="0" xfId="0">
      <alignment wrapText="1"/>
    </xf>
    <xf numFmtId="0" fontId="14" fillId="20" borderId="16" applyAlignment="1" pivotButton="0" quotePrefix="0" xfId="0">
      <alignment wrapText="1"/>
    </xf>
    <xf numFmtId="0" fontId="14" fillId="20" borderId="17" applyAlignment="1" pivotButton="0" quotePrefix="0" xfId="0">
      <alignment wrapText="1"/>
    </xf>
    <xf numFmtId="0" fontId="14" fillId="20" borderId="0" pivotButton="0" quotePrefix="0" xfId="0"/>
    <xf numFmtId="0" fontId="14" fillId="20" borderId="11" applyAlignment="1" pivotButton="0" quotePrefix="0" xfId="0">
      <alignment vertical="center" wrapText="1"/>
    </xf>
    <xf numFmtId="0" fontId="14" fillId="20" borderId="0" applyAlignment="1" pivotButton="0" quotePrefix="0" xfId="0">
      <alignment vertical="center" wrapText="1"/>
    </xf>
    <xf numFmtId="0" fontId="14" fillId="20" borderId="12" applyAlignment="1" pivotButton="0" quotePrefix="0" xfId="0">
      <alignment vertical="center" wrapText="1"/>
    </xf>
    <xf numFmtId="0" fontId="14" fillId="20" borderId="15" applyAlignment="1" pivotButton="0" quotePrefix="0" xfId="0">
      <alignment vertical="center" wrapText="1"/>
    </xf>
    <xf numFmtId="0" fontId="14" fillId="20" borderId="16" applyAlignment="1" pivotButton="0" quotePrefix="0" xfId="0">
      <alignment vertical="center" wrapText="1"/>
    </xf>
    <xf numFmtId="0" fontId="14" fillId="20" borderId="17" applyAlignment="1" pivotButton="0" quotePrefix="0" xfId="0">
      <alignment vertical="center" wrapText="1"/>
    </xf>
    <xf numFmtId="0" fontId="0" fillId="21" borderId="0" pivotButton="0" quotePrefix="0" xfId="0"/>
    <xf numFmtId="0" fontId="1" fillId="21" borderId="0" pivotButton="0" quotePrefix="0" xfId="0"/>
    <xf numFmtId="0" fontId="1" fillId="21" borderId="0" applyAlignment="1" pivotButton="0" quotePrefix="0" xfId="0">
      <alignment vertical="center"/>
    </xf>
    <xf numFmtId="0" fontId="0" fillId="18" borderId="0" pivotButton="0" quotePrefix="0" xfId="0"/>
    <xf numFmtId="0" fontId="3" fillId="18" borderId="0" pivotButton="0" quotePrefix="0" xfId="0"/>
    <xf numFmtId="0" fontId="3" fillId="18" borderId="0" applyAlignment="1" pivotButton="0" quotePrefix="0" xfId="0">
      <alignment horizontal="center"/>
    </xf>
    <xf numFmtId="0" fontId="3" fillId="18" borderId="0" applyAlignment="1" pivotButton="0" quotePrefix="0" xfId="0">
      <alignment horizontal="center" vertical="center"/>
    </xf>
    <xf numFmtId="0" fontId="0" fillId="0" borderId="28" pivotButton="0" quotePrefix="0" xfId="0"/>
    <xf numFmtId="0" fontId="0" fillId="0" borderId="29" pivotButton="0" quotePrefix="0" xfId="0"/>
    <xf numFmtId="0" fontId="0" fillId="0" borderId="30" pivotButton="0" quotePrefix="0" xfId="0"/>
    <xf numFmtId="0" fontId="0" fillId="0" borderId="31" pivotButton="0" quotePrefix="0" xfId="0"/>
    <xf numFmtId="0" fontId="0" fillId="0" borderId="0" pivotButton="0" quotePrefix="0" xfId="0"/>
    <xf numFmtId="0" fontId="0" fillId="0" borderId="32" pivotButton="0" quotePrefix="0" xfId="0"/>
    <xf numFmtId="0" fontId="0" fillId="0" borderId="33" pivotButton="0" quotePrefix="0" xfId="0"/>
    <xf numFmtId="0" fontId="0" fillId="0" borderId="34" pivotButton="0" quotePrefix="0" xfId="0"/>
    <xf numFmtId="0" fontId="0" fillId="0" borderId="35" pivotButton="0" quotePrefix="0" xfId="0"/>
    <xf numFmtId="0" fontId="6" fillId="11" borderId="0" applyAlignment="1" pivotButton="0" quotePrefix="0" xfId="0">
      <alignment vertical="center" wrapText="1"/>
    </xf>
    <xf numFmtId="0" fontId="20" fillId="11" borderId="0" applyAlignment="1" pivotButton="0" quotePrefix="0" xfId="0">
      <alignment vertical="center" wrapText="1"/>
    </xf>
    <xf numFmtId="0" fontId="5" fillId="16" borderId="0" applyAlignment="1" pivotButton="0" quotePrefix="0" xfId="0">
      <alignment wrapText="1"/>
    </xf>
    <xf numFmtId="0" fontId="5" fillId="16" borderId="0" pivotButton="0" quotePrefix="0" xfId="0"/>
    <xf numFmtId="0" fontId="4" fillId="16" borderId="0" applyAlignment="1" pivotButton="0" quotePrefix="0" xfId="0">
      <alignment wrapText="1"/>
    </xf>
    <xf numFmtId="0" fontId="4" fillId="16" borderId="0" pivotButton="0" quotePrefix="0" xfId="0"/>
    <xf numFmtId="0" fontId="4" fillId="16" borderId="0" applyAlignment="1" pivotButton="0" quotePrefix="0" xfId="0">
      <alignment horizontal="left" wrapText="1"/>
    </xf>
    <xf numFmtId="0" fontId="4" fillId="16" borderId="0" applyAlignment="1" pivotButton="0" quotePrefix="0" xfId="0">
      <alignment horizontal="left"/>
    </xf>
    <xf numFmtId="0" fontId="5" fillId="6" borderId="0" applyAlignment="1" pivotButton="0" quotePrefix="0" xfId="0">
      <alignment wrapText="1"/>
    </xf>
    <xf numFmtId="0" fontId="14" fillId="6" borderId="0" pivotButton="0" quotePrefix="0" xfId="0"/>
    <xf numFmtId="0" fontId="14" fillId="6" borderId="0" applyAlignment="1" pivotButton="0" quotePrefix="0" xfId="0">
      <alignment vertical="center" wrapText="1"/>
    </xf>
    <xf numFmtId="0" fontId="1" fillId="2" borderId="0" applyAlignment="1" pivotButton="0" quotePrefix="0" xfId="0">
      <alignment vertical="center"/>
    </xf>
    <xf numFmtId="0" fontId="3" fillId="4" borderId="0" applyAlignment="1" pivotButton="0" quotePrefix="0" xfId="0">
      <alignment horizontal="center"/>
    </xf>
    <xf numFmtId="0" fontId="3" fillId="4" borderId="0" applyAlignment="1" pivotButton="0" quotePrefix="0" xfId="0">
      <alignment horizontal="center" vertical="center"/>
    </xf>
    <xf numFmtId="0" fontId="19" fillId="22" borderId="0" applyAlignment="1" pivotButton="0" quotePrefix="0" xfId="0">
      <alignment horizontal="left" vertical="center"/>
    </xf>
    <xf numFmtId="0" fontId="19" fillId="22" borderId="0" pivotButton="0" quotePrefix="0" xfId="0"/>
    <xf numFmtId="0" fontId="19" fillId="22" borderId="0" applyAlignment="1" pivotButton="0" quotePrefix="0" xfId="0">
      <alignment vertical="center"/>
    </xf>
    <xf numFmtId="0" fontId="20" fillId="23" borderId="0" applyAlignment="1" pivotButton="0" quotePrefix="0" xfId="0">
      <alignment vertical="center" wrapText="1"/>
    </xf>
    <xf numFmtId="0" fontId="4" fillId="24" borderId="0" applyAlignment="1" pivotButton="0" quotePrefix="0" xfId="0">
      <alignment horizontal="center" vertical="center" wrapText="1"/>
    </xf>
    <xf numFmtId="0" fontId="4" fillId="24" borderId="36" applyAlignment="1" pivotButton="0" quotePrefix="0" xfId="0">
      <alignment horizontal="center" vertical="center" wrapText="1"/>
    </xf>
    <xf numFmtId="0" fontId="4" fillId="24" borderId="37" applyAlignment="1" pivotButton="0" quotePrefix="0" xfId="0">
      <alignment horizontal="center" vertical="center" wrapText="1"/>
    </xf>
    <xf numFmtId="0" fontId="4" fillId="24" borderId="38" applyAlignment="1" pivotButton="0" quotePrefix="0" xfId="0">
      <alignment horizontal="center" vertical="center" wrapText="1"/>
    </xf>
    <xf numFmtId="0" fontId="5" fillId="0" borderId="39" applyAlignment="1" pivotButton="0" quotePrefix="0" xfId="0">
      <alignment wrapText="1"/>
    </xf>
    <xf numFmtId="0" fontId="5" fillId="0" borderId="0" applyAlignment="1" pivotButton="0" quotePrefix="0" xfId="0">
      <alignment wrapText="1"/>
    </xf>
    <xf numFmtId="0" fontId="5" fillId="0" borderId="40" applyAlignment="1" pivotButton="0" quotePrefix="0" xfId="0">
      <alignment wrapText="1"/>
    </xf>
    <xf numFmtId="0" fontId="5" fillId="0" borderId="41" applyAlignment="1" pivotButton="0" quotePrefix="0" xfId="0">
      <alignment wrapText="1"/>
    </xf>
    <xf numFmtId="0" fontId="5" fillId="0" borderId="42" applyAlignment="1" pivotButton="0" quotePrefix="0" xfId="0">
      <alignment wrapText="1"/>
    </xf>
    <xf numFmtId="0" fontId="5" fillId="0" borderId="43" applyAlignment="1" pivotButton="0" quotePrefix="0" xfId="0">
      <alignment wrapText="1"/>
    </xf>
    <xf numFmtId="0" fontId="4" fillId="25" borderId="0" applyAlignment="1" pivotButton="0" quotePrefix="0" xfId="0">
      <alignment horizontal="left" wrapText="1"/>
    </xf>
    <xf numFmtId="0" fontId="4" fillId="25" borderId="0" applyAlignment="1" pivotButton="0" quotePrefix="0" xfId="0">
      <alignment horizontal="left"/>
    </xf>
    <xf numFmtId="0" fontId="5" fillId="0" borderId="36" applyAlignment="1" pivotButton="0" quotePrefix="0" xfId="0">
      <alignment wrapText="1"/>
    </xf>
    <xf numFmtId="0" fontId="5" fillId="0" borderId="37" applyAlignment="1" pivotButton="0" quotePrefix="0" xfId="0">
      <alignment wrapText="1"/>
    </xf>
    <xf numFmtId="0" fontId="5" fillId="0" borderId="38" applyAlignment="1" pivotButton="0" quotePrefix="0" xfId="0">
      <alignment wrapText="1"/>
    </xf>
    <xf numFmtId="0" fontId="4" fillId="5" borderId="39" applyAlignment="1" pivotButton="0" quotePrefix="0" xfId="0">
      <alignment horizontal="center" vertical="center" wrapText="1"/>
    </xf>
    <xf numFmtId="0" fontId="4" fillId="5" borderId="0" applyAlignment="1" pivotButton="0" quotePrefix="0" xfId="0">
      <alignment horizontal="center" vertical="center" wrapText="1"/>
    </xf>
    <xf numFmtId="0" fontId="4" fillId="5" borderId="40" applyAlignment="1" pivotButton="0" quotePrefix="0" xfId="0">
      <alignment horizontal="center" vertical="center" wrapText="1"/>
    </xf>
    <xf numFmtId="0" fontId="5" fillId="26" borderId="0" applyAlignment="1" pivotButton="0" quotePrefix="0" xfId="0">
      <alignment wrapText="1"/>
    </xf>
    <xf numFmtId="0" fontId="14" fillId="26" borderId="0" applyAlignment="1" pivotButton="0" quotePrefix="0" xfId="0">
      <alignment vertical="center" wrapText="1"/>
    </xf>
    <xf numFmtId="0" fontId="14" fillId="26" borderId="0" applyAlignment="1" pivotButton="0" quotePrefix="0" xfId="0">
      <alignment wrapText="1"/>
    </xf>
    <xf numFmtId="0" fontId="5" fillId="27" borderId="0" pivotButton="0" quotePrefix="0" xfId="0"/>
    <xf numFmtId="164" fontId="5" fillId="27" borderId="0" pivotButton="0" quotePrefix="0" xfId="0"/>
    <xf numFmtId="165" fontId="5" fillId="27" borderId="0" pivotButton="0" quotePrefix="0" xfId="0"/>
    <xf numFmtId="0" fontId="5" fillId="26" borderId="0" pivotButton="0" quotePrefix="0" xfId="0"/>
    <xf numFmtId="0" fontId="21" fillId="26" borderId="0" pivotButton="0" quotePrefix="0" xfId="0"/>
    <xf numFmtId="0" fontId="21" fillId="26" borderId="0" applyAlignment="1" pivotButton="0" quotePrefix="0" xfId="0">
      <alignment wrapText="1"/>
    </xf>
    <xf numFmtId="0" fontId="21" fillId="26" borderId="0" applyAlignment="1" pivotButton="0" quotePrefix="0" xfId="0">
      <alignment vertical="top" wrapText="1"/>
    </xf>
    <xf numFmtId="0" fontId="14" fillId="26" borderId="0" applyAlignment="1" pivotButton="0" quotePrefix="0" xfId="0">
      <alignment vertical="top" wrapText="1"/>
    </xf>
    <xf numFmtId="0" fontId="22" fillId="22" borderId="0" applyAlignment="1" pivotButton="0" quotePrefix="0" xfId="0">
      <alignment horizontal="left" vertical="center"/>
    </xf>
    <xf numFmtId="0" fontId="22" fillId="22" borderId="0" pivotButton="0" quotePrefix="0" xfId="0"/>
    <xf numFmtId="0" fontId="15" fillId="28" borderId="0" applyAlignment="1" pivotButton="0" quotePrefix="0" xfId="0">
      <alignment wrapText="1"/>
    </xf>
    <xf numFmtId="0" fontId="5" fillId="28" borderId="0" pivotButton="0" quotePrefix="0" xfId="0"/>
    <xf numFmtId="0" fontId="15" fillId="28" borderId="0" pivotButton="0" quotePrefix="0" xfId="0"/>
    <xf numFmtId="0" fontId="5" fillId="24" borderId="0" pivotButton="0" quotePrefix="0" xfId="0"/>
    <xf numFmtId="3" fontId="5" fillId="24" borderId="0" pivotButton="0" quotePrefix="0" xfId="0"/>
    <xf numFmtId="0" fontId="4" fillId="24" borderId="0" pivotButton="0" quotePrefix="0" xfId="0"/>
    <xf numFmtId="3" fontId="4" fillId="24" borderId="0" pivotButton="0" quotePrefix="0" xfId="0"/>
    <xf numFmtId="0" fontId="4" fillId="24" borderId="0" applyAlignment="1" pivotButton="0" quotePrefix="0" xfId="0">
      <alignment horizontal="center"/>
    </xf>
    <xf numFmtId="3" fontId="4" fillId="24" borderId="0" applyAlignment="1" pivotButton="0" quotePrefix="0" xfId="0">
      <alignment horizontal="center"/>
    </xf>
    <xf numFmtId="3" fontId="5" fillId="26" borderId="0" pivotButton="0" quotePrefix="0" xfId="0"/>
    <xf numFmtId="0" fontId="4" fillId="24" borderId="36" applyAlignment="1" pivotButton="0" quotePrefix="0" xfId="0">
      <alignment horizontal="center"/>
    </xf>
    <xf numFmtId="3" fontId="4" fillId="24" borderId="37" applyAlignment="1" pivotButton="0" quotePrefix="0" xfId="0">
      <alignment horizontal="center"/>
    </xf>
    <xf numFmtId="3" fontId="4" fillId="24" borderId="38" applyAlignment="1" pivotButton="0" quotePrefix="0" xfId="0">
      <alignment horizontal="center"/>
    </xf>
    <xf numFmtId="0" fontId="5" fillId="0" borderId="39" pivotButton="0" quotePrefix="0" xfId="0"/>
    <xf numFmtId="3" fontId="5" fillId="26" borderId="0" pivotButton="0" quotePrefix="0" xfId="0"/>
    <xf numFmtId="3" fontId="5" fillId="6" borderId="0" pivotButton="0" quotePrefix="0" xfId="0"/>
    <xf numFmtId="3" fontId="5" fillId="0" borderId="40" pivotButton="0" quotePrefix="0" xfId="0"/>
    <xf numFmtId="0" fontId="5" fillId="0" borderId="41" pivotButton="0" quotePrefix="0" xfId="0"/>
    <xf numFmtId="3" fontId="5" fillId="26" borderId="42" pivotButton="0" quotePrefix="0" xfId="0"/>
    <xf numFmtId="3" fontId="5" fillId="0" borderId="42" pivotButton="0" quotePrefix="0" xfId="0"/>
    <xf numFmtId="0" fontId="5" fillId="0" borderId="43" pivotButton="0" quotePrefix="0" xfId="0"/>
    <xf numFmtId="0" fontId="1" fillId="29" borderId="0" applyAlignment="1" pivotButton="0" quotePrefix="0" xfId="0">
      <alignment vertical="center"/>
    </xf>
    <xf numFmtId="0" fontId="23" fillId="29" borderId="0" applyAlignment="1" pivotButton="0" quotePrefix="0" xfId="0">
      <alignment vertical="center"/>
    </xf>
    <xf numFmtId="0" fontId="3" fillId="30" borderId="0" applyAlignment="1" pivotButton="0" quotePrefix="0" xfId="0">
      <alignment horizontal="center" vertical="center"/>
    </xf>
    <xf numFmtId="0" fontId="0" fillId="30" borderId="28" pivotButton="0" quotePrefix="0" xfId="0"/>
    <xf numFmtId="0" fontId="0" fillId="30" borderId="29" pivotButton="0" quotePrefix="0" xfId="0"/>
    <xf numFmtId="0" fontId="0" fillId="30" borderId="30" pivotButton="0" quotePrefix="0" xfId="0"/>
    <xf numFmtId="0" fontId="0" fillId="30" borderId="31" pivotButton="0" quotePrefix="0" xfId="0"/>
    <xf numFmtId="0" fontId="0" fillId="30" borderId="0" pivotButton="0" quotePrefix="0" xfId="0"/>
    <xf numFmtId="0" fontId="0" fillId="30" borderId="32" pivotButton="0" quotePrefix="0" xfId="0"/>
    <xf numFmtId="0" fontId="11" fillId="30" borderId="0" applyAlignment="1" pivotButton="0" quotePrefix="0" xfId="0">
      <alignment horizontal="center" vertical="center"/>
    </xf>
    <xf numFmtId="0" fontId="11" fillId="30" borderId="28" pivotButton="0" quotePrefix="0" xfId="0"/>
    <xf numFmtId="0" fontId="11" fillId="30" borderId="29" pivotButton="0" quotePrefix="0" xfId="0"/>
    <xf numFmtId="0" fontId="11" fillId="30" borderId="30" pivotButton="0" quotePrefix="0" xfId="0"/>
    <xf numFmtId="0" fontId="11" fillId="30" borderId="31" pivotButton="0" quotePrefix="0" xfId="0"/>
    <xf numFmtId="0" fontId="11" fillId="30" borderId="0" pivotButton="0" quotePrefix="0" xfId="0"/>
    <xf numFmtId="0" fontId="11" fillId="30" borderId="32" pivotButton="0" quotePrefix="0" xfId="0"/>
    <xf numFmtId="0" fontId="11" fillId="30" borderId="0" applyAlignment="1" pivotButton="0" quotePrefix="0" xfId="0">
      <alignment horizontal="center" vertical="center" wrapText="1"/>
    </xf>
    <xf numFmtId="0" fontId="11" fillId="30" borderId="28" applyAlignment="1" pivotButton="0" quotePrefix="0" xfId="0">
      <alignment wrapText="1"/>
    </xf>
    <xf numFmtId="0" fontId="11" fillId="30" borderId="29" applyAlignment="1" pivotButton="0" quotePrefix="0" xfId="0">
      <alignment wrapText="1"/>
    </xf>
    <xf numFmtId="0" fontId="11" fillId="30" borderId="30" applyAlignment="1" pivotButton="0" quotePrefix="0" xfId="0">
      <alignment wrapText="1"/>
    </xf>
    <xf numFmtId="0" fontId="11" fillId="30" borderId="31" applyAlignment="1" pivotButton="0" quotePrefix="0" xfId="0">
      <alignment wrapText="1"/>
    </xf>
    <xf numFmtId="0" fontId="11" fillId="30" borderId="0" applyAlignment="1" pivotButton="0" quotePrefix="0" xfId="0">
      <alignment wrapText="1"/>
    </xf>
    <xf numFmtId="0" fontId="11" fillId="30" borderId="32" applyAlignment="1" pivotButton="0" quotePrefix="0" xfId="0">
      <alignment wrapText="1"/>
    </xf>
    <xf numFmtId="0" fontId="11" fillId="30" borderId="28" applyAlignment="1" pivotButton="0" quotePrefix="0" xfId="0">
      <alignment vertical="center" wrapText="1"/>
    </xf>
    <xf numFmtId="0" fontId="11" fillId="30" borderId="29" applyAlignment="1" pivotButton="0" quotePrefix="0" xfId="0">
      <alignment vertical="center" wrapText="1"/>
    </xf>
    <xf numFmtId="0" fontId="11" fillId="30" borderId="30" applyAlignment="1" pivotButton="0" quotePrefix="0" xfId="0">
      <alignment vertical="center" wrapText="1"/>
    </xf>
    <xf numFmtId="0" fontId="11" fillId="30" borderId="31" applyAlignment="1" pivotButton="0" quotePrefix="0" xfId="0">
      <alignment vertical="center" wrapText="1"/>
    </xf>
    <xf numFmtId="0" fontId="11" fillId="30" borderId="0" applyAlignment="1" pivotButton="0" quotePrefix="0" xfId="0">
      <alignment vertical="center" wrapText="1"/>
    </xf>
    <xf numFmtId="0" fontId="11" fillId="30" borderId="32" applyAlignment="1" pivotButton="0" quotePrefix="0" xfId="0">
      <alignment vertical="center" wrapText="1"/>
    </xf>
    <xf numFmtId="0" fontId="0" fillId="30" borderId="0" pivotButton="0" quotePrefix="0" xfId="0"/>
    <xf numFmtId="0" fontId="11" fillId="30" borderId="0" pivotButton="0" quotePrefix="0" xfId="0"/>
    <xf numFmtId="0" fontId="11" fillId="30" borderId="0" applyAlignment="1" pivotButton="0" quotePrefix="0" xfId="0">
      <alignment wrapText="1"/>
    </xf>
    <xf numFmtId="0" fontId="11" fillId="30" borderId="0" applyAlignment="1" pivotButton="0" quotePrefix="0" xfId="0">
      <alignment vertical="center" wrapText="1"/>
    </xf>
    <xf numFmtId="0" fontId="4" fillId="22" borderId="0" applyAlignment="1" pivotButton="0" quotePrefix="0" xfId="0">
      <alignment horizontal="left" vertical="center"/>
    </xf>
    <xf numFmtId="0" fontId="4" fillId="22" borderId="0" applyAlignment="1" pivotButton="0" quotePrefix="0" xfId="0">
      <alignment vertical="center"/>
    </xf>
    <xf numFmtId="0" fontId="6" fillId="23" borderId="0" applyAlignment="1" pivotButton="0" quotePrefix="0" xfId="0">
      <alignment vertical="center" wrapText="1"/>
    </xf>
    <xf numFmtId="0" fontId="4" fillId="0" borderId="0" pivotButton="0" quotePrefix="0" xfId="0"/>
    <xf numFmtId="0" fontId="4" fillId="22" borderId="0" pivotButton="0" quotePrefix="0" xfId="0"/>
    <xf numFmtId="0" fontId="19" fillId="2" borderId="0" pivotButton="0" quotePrefix="0" xfId="0"/>
    <xf numFmtId="0" fontId="19" fillId="2" borderId="0" applyAlignment="1" pivotButton="0" quotePrefix="0" xfId="0">
      <alignment vertical="center"/>
    </xf>
    <xf numFmtId="0" fontId="5" fillId="9" borderId="0" pivotButton="0" quotePrefix="0" xfId="0"/>
    <xf numFmtId="164" fontId="5" fillId="9" borderId="0" pivotButton="0" quotePrefix="0" xfId="0"/>
    <xf numFmtId="165" fontId="5" fillId="9" borderId="0" pivotButton="0" quotePrefix="0" xfId="0"/>
    <xf numFmtId="0" fontId="21" fillId="6" borderId="0" pivotButton="0" quotePrefix="0" xfId="0"/>
    <xf numFmtId="0" fontId="21" fillId="6" borderId="0" applyAlignment="1" pivotButton="0" quotePrefix="0" xfId="0">
      <alignment wrapText="1"/>
    </xf>
    <xf numFmtId="0" fontId="21" fillId="6" borderId="0" applyAlignment="1" pivotButton="0" quotePrefix="0" xfId="0">
      <alignment vertical="top" wrapText="1"/>
    </xf>
    <xf numFmtId="0" fontId="22" fillId="2" borderId="0" applyAlignment="1" pivotButton="0" quotePrefix="0" xfId="0">
      <alignment horizontal="left" vertical="center"/>
    </xf>
    <xf numFmtId="0" fontId="22" fillId="2" borderId="0" pivotButton="0" quotePrefix="0" xfId="0"/>
    <xf numFmtId="0" fontId="5" fillId="7" borderId="0" pivotButton="0" quotePrefix="0" xfId="0"/>
    <xf numFmtId="0" fontId="15" fillId="7" borderId="0" pivotButton="0" quotePrefix="0" xfId="0"/>
    <xf numFmtId="0" fontId="5" fillId="4" borderId="0" pivotButton="0" quotePrefix="0" xfId="0"/>
    <xf numFmtId="3" fontId="5" fillId="4" borderId="0" pivotButton="0" quotePrefix="0" xfId="0"/>
    <xf numFmtId="0" fontId="4" fillId="4" borderId="0" pivotButton="0" quotePrefix="0" xfId="0"/>
    <xf numFmtId="3" fontId="4" fillId="4" borderId="0" pivotButton="0" quotePrefix="0" xfId="0"/>
    <xf numFmtId="0" fontId="4" fillId="4" borderId="0" applyAlignment="1" pivotButton="0" quotePrefix="0" xfId="0">
      <alignment horizontal="center"/>
    </xf>
    <xf numFmtId="3" fontId="4" fillId="4" borderId="0" applyAlignment="1" pivotButton="0" quotePrefix="0" xfId="0">
      <alignment horizontal="center"/>
    </xf>
    <xf numFmtId="0" fontId="1" fillId="10" borderId="0" applyAlignment="1" pivotButton="0" quotePrefix="0" xfId="0">
      <alignment vertical="center"/>
    </xf>
    <xf numFmtId="0" fontId="23" fillId="10" borderId="0" applyAlignment="1" pivotButton="0" quotePrefix="0" xfId="0">
      <alignment vertical="center"/>
    </xf>
    <xf numFmtId="0" fontId="3" fillId="3" borderId="0" applyAlignment="1" pivotButton="0" quotePrefix="0" xfId="0">
      <alignment horizontal="center" vertical="center"/>
    </xf>
    <xf numFmtId="0" fontId="0" fillId="3" borderId="0" pivotButton="0" quotePrefix="0" xfId="0"/>
    <xf numFmtId="0" fontId="11" fillId="3" borderId="0" applyAlignment="1" pivotButton="0" quotePrefix="0" xfId="0">
      <alignment horizontal="center" vertical="center"/>
    </xf>
    <xf numFmtId="0" fontId="11" fillId="3" borderId="0" pivotButton="0" quotePrefix="0" xfId="0"/>
    <xf numFmtId="0" fontId="11" fillId="3" borderId="0" applyAlignment="1" pivotButton="0" quotePrefix="0" xfId="0">
      <alignment horizontal="center" vertical="center" wrapText="1"/>
    </xf>
    <xf numFmtId="0" fontId="11" fillId="3" borderId="0" applyAlignment="1" pivotButton="0" quotePrefix="0" xfId="0">
      <alignment wrapText="1"/>
    </xf>
    <xf numFmtId="0" fontId="11" fillId="3" borderId="0" applyAlignment="1" pivotButton="0" quotePrefix="0" xfId="0">
      <alignment vertical="center" wrapText="1"/>
    </xf>
    <xf numFmtId="0" fontId="11" fillId="3" borderId="0" applyAlignment="1" pivotButton="0" quotePrefix="0" xfId="0">
      <alignment vertical="center" wrapText="1"/>
    </xf>
    <xf numFmtId="0" fontId="4" fillId="2" borderId="0" applyAlignment="1" pivotButton="0" quotePrefix="0" xfId="0">
      <alignment vertical="center"/>
    </xf>
    <xf numFmtId="0" fontId="4" fillId="2" borderId="0" pivotButton="0" quotePrefix="0" xfId="0"/>
    <xf numFmtId="0" fontId="19" fillId="31" borderId="0" applyAlignment="1" pivotButton="0" quotePrefix="0" xfId="0">
      <alignment horizontal="left" vertical="center"/>
    </xf>
    <xf numFmtId="0" fontId="19" fillId="31" borderId="0" applyAlignment="1" pivotButton="0" quotePrefix="0" xfId="0">
      <alignment vertical="center"/>
    </xf>
    <xf numFmtId="0" fontId="5" fillId="31" borderId="0" pivotButton="0" quotePrefix="0" xfId="0"/>
    <xf numFmtId="0" fontId="24" fillId="31" borderId="0" applyAlignment="1" pivotButton="0" quotePrefix="0" xfId="0">
      <alignment horizontal="left" vertical="center"/>
    </xf>
    <xf numFmtId="0" fontId="24" fillId="31" borderId="0" applyAlignment="1" pivotButton="0" quotePrefix="0" xfId="0">
      <alignment vertical="center"/>
    </xf>
    <xf numFmtId="0" fontId="24" fillId="31" borderId="0" pivotButton="0" quotePrefix="0" xfId="0"/>
    <xf numFmtId="0" fontId="6" fillId="32" borderId="0" applyAlignment="1" pivotButton="0" quotePrefix="0" xfId="0">
      <alignment vertical="center" wrapText="1"/>
    </xf>
    <xf numFmtId="0" fontId="5" fillId="32" borderId="0" pivotButton="0" quotePrefix="0" xfId="0"/>
    <xf numFmtId="0" fontId="25" fillId="32" borderId="0" applyAlignment="1" pivotButton="0" quotePrefix="0" xfId="0">
      <alignment vertical="center" wrapText="1"/>
    </xf>
    <xf numFmtId="0" fontId="25" fillId="32" borderId="0" pivotButton="0" quotePrefix="0" xfId="0"/>
    <xf numFmtId="0" fontId="25" fillId="32" borderId="0" applyAlignment="1" pivotButton="0" quotePrefix="0" xfId="0">
      <alignment wrapText="1"/>
    </xf>
    <xf numFmtId="0" fontId="4" fillId="33" borderId="36" applyAlignment="1" pivotButton="0" quotePrefix="0" xfId="0">
      <alignment horizontal="center" vertical="center" wrapText="1"/>
    </xf>
    <xf numFmtId="0" fontId="4" fillId="33" borderId="37" applyAlignment="1" pivotButton="0" quotePrefix="0" xfId="0">
      <alignment horizontal="center" vertical="center" wrapText="1"/>
    </xf>
    <xf numFmtId="0" fontId="4" fillId="33" borderId="38" applyAlignment="1" pivotButton="0" quotePrefix="0" xfId="0">
      <alignment horizontal="center" vertical="center" wrapText="1"/>
    </xf>
    <xf numFmtId="0" fontId="5" fillId="33" borderId="0" pivotButton="0" quotePrefix="0" xfId="0"/>
    <xf numFmtId="0" fontId="4" fillId="33" borderId="0" pivotButton="0" quotePrefix="0" xfId="0"/>
    <xf numFmtId="0" fontId="4" fillId="33" borderId="44" applyAlignment="1" pivotButton="0" quotePrefix="0" xfId="0">
      <alignment horizontal="center" vertical="center" wrapText="1"/>
    </xf>
    <xf numFmtId="0" fontId="4" fillId="33" borderId="45" applyAlignment="1" pivotButton="0" quotePrefix="0" xfId="0">
      <alignment horizontal="center" vertical="center" wrapText="1"/>
    </xf>
    <xf numFmtId="0" fontId="4" fillId="33" borderId="46" applyAlignment="1" pivotButton="0" quotePrefix="0" xfId="0">
      <alignment horizontal="center" vertical="center" wrapText="1"/>
    </xf>
    <xf numFmtId="0" fontId="4" fillId="33" borderId="45" pivotButton="0" quotePrefix="0" xfId="0"/>
    <xf numFmtId="0" fontId="4" fillId="33" borderId="47" pivotButton="0" quotePrefix="0" xfId="0"/>
    <xf numFmtId="0" fontId="4" fillId="33" borderId="45" applyAlignment="1" pivotButton="0" quotePrefix="0" xfId="0">
      <alignment wrapText="1"/>
    </xf>
    <xf numFmtId="0" fontId="4" fillId="33" borderId="47" applyAlignment="1" pivotButton="0" quotePrefix="0" xfId="0">
      <alignment wrapText="1"/>
    </xf>
    <xf numFmtId="0" fontId="4" fillId="33" borderId="45" applyAlignment="1" pivotButton="0" quotePrefix="0" xfId="0">
      <alignment horizontal="center" wrapText="1"/>
    </xf>
    <xf numFmtId="0" fontId="4" fillId="33" borderId="47" applyAlignment="1" pivotButton="0" quotePrefix="0" xfId="0">
      <alignment horizontal="center" wrapText="1"/>
    </xf>
    <xf numFmtId="0" fontId="4" fillId="33" borderId="47" applyAlignment="1" pivotButton="0" quotePrefix="0" xfId="0">
      <alignment horizontal="center" vertical="center" wrapText="1"/>
    </xf>
    <xf numFmtId="0" fontId="4" fillId="33" borderId="0" applyAlignment="1" pivotButton="0" quotePrefix="0" xfId="0">
      <alignment horizontal="center" vertical="center" wrapText="1"/>
    </xf>
    <xf numFmtId="0" fontId="5" fillId="0" borderId="48" applyAlignment="1" pivotButton="0" quotePrefix="0" xfId="0">
      <alignment wrapText="1"/>
    </xf>
    <xf numFmtId="0" fontId="5" fillId="0" borderId="49" applyAlignment="1" pivotButton="0" quotePrefix="0" xfId="0">
      <alignment wrapText="1"/>
    </xf>
    <xf numFmtId="0" fontId="5" fillId="0" borderId="50" applyAlignment="1" pivotButton="0" quotePrefix="0" xfId="0">
      <alignment wrapText="1"/>
    </xf>
    <xf numFmtId="0" fontId="5" fillId="0" borderId="51" applyAlignment="1" pivotButton="0" quotePrefix="0" xfId="0">
      <alignment wrapText="1"/>
    </xf>
    <xf numFmtId="0" fontId="5" fillId="0" borderId="52" applyAlignment="1" pivotButton="0" quotePrefix="0" xfId="0">
      <alignment wrapText="1"/>
    </xf>
    <xf numFmtId="0" fontId="5" fillId="0" borderId="53" applyAlignment="1" pivotButton="0" quotePrefix="0" xfId="0">
      <alignment wrapText="1"/>
    </xf>
    <xf numFmtId="0" fontId="5" fillId="34" borderId="36" applyAlignment="1" pivotButton="0" quotePrefix="0" xfId="0">
      <alignment wrapText="1"/>
    </xf>
    <xf numFmtId="0" fontId="5" fillId="34" borderId="37" applyAlignment="1" pivotButton="0" quotePrefix="0" xfId="0">
      <alignment wrapText="1"/>
    </xf>
    <xf numFmtId="0" fontId="4" fillId="34" borderId="36" applyAlignment="1" pivotButton="0" quotePrefix="0" xfId="0">
      <alignment wrapText="1"/>
    </xf>
    <xf numFmtId="0" fontId="4" fillId="34" borderId="37" applyAlignment="1" pivotButton="0" quotePrefix="0" xfId="0">
      <alignment wrapText="1"/>
    </xf>
    <xf numFmtId="0" fontId="4" fillId="34" borderId="36" applyAlignment="1" pivotButton="0" quotePrefix="0" xfId="0">
      <alignment horizontal="center" wrapText="1"/>
    </xf>
    <xf numFmtId="0" fontId="4" fillId="34" borderId="37" applyAlignment="1" pivotButton="0" quotePrefix="0" xfId="0">
      <alignment horizontal="center" wrapText="1"/>
    </xf>
    <xf numFmtId="0" fontId="5" fillId="34" borderId="0" applyAlignment="1" pivotButton="0" quotePrefix="0" xfId="0">
      <alignment wrapText="1"/>
    </xf>
    <xf numFmtId="0" fontId="4" fillId="34" borderId="0" applyAlignment="1" pivotButton="0" quotePrefix="0" xfId="0">
      <alignment wrapText="1"/>
    </xf>
    <xf numFmtId="0" fontId="4" fillId="34" borderId="0" applyAlignment="1" pivotButton="0" quotePrefix="0" xfId="0">
      <alignment horizontal="center" wrapText="1"/>
    </xf>
    <xf numFmtId="0" fontId="5" fillId="34" borderId="38" applyAlignment="1" pivotButton="0" quotePrefix="0" xfId="0">
      <alignment wrapText="1"/>
    </xf>
    <xf numFmtId="0" fontId="4" fillId="34" borderId="38" applyAlignment="1" pivotButton="0" quotePrefix="0" xfId="0">
      <alignment wrapText="1"/>
    </xf>
    <xf numFmtId="0" fontId="4" fillId="34" borderId="38" applyAlignment="1" pivotButton="0" quotePrefix="0" xfId="0">
      <alignment horizontal="center" wrapText="1"/>
    </xf>
    <xf numFmtId="0" fontId="5" fillId="34" borderId="0" pivotButton="0" quotePrefix="0" xfId="0"/>
    <xf numFmtId="0" fontId="4" fillId="34" borderId="0" pivotButton="0" quotePrefix="0" xfId="0"/>
    <xf numFmtId="0" fontId="4" fillId="34" borderId="0" applyAlignment="1" pivotButton="0" quotePrefix="0" xfId="0">
      <alignment horizontal="center"/>
    </xf>
    <xf numFmtId="0" fontId="5" fillId="35" borderId="39" applyAlignment="1" pivotButton="0" quotePrefix="0" xfId="0">
      <alignment wrapText="1"/>
    </xf>
    <xf numFmtId="0" fontId="5" fillId="35" borderId="0" applyAlignment="1" pivotButton="0" quotePrefix="0" xfId="0">
      <alignment wrapText="1"/>
    </xf>
    <xf numFmtId="0" fontId="4" fillId="35" borderId="39" applyAlignment="1" pivotButton="0" quotePrefix="0" xfId="0">
      <alignment horizontal="center" vertical="center" wrapText="1"/>
    </xf>
    <xf numFmtId="0" fontId="4" fillId="35" borderId="0" applyAlignment="1" pivotButton="0" quotePrefix="0" xfId="0">
      <alignment horizontal="center" vertical="center" wrapText="1"/>
    </xf>
    <xf numFmtId="0" fontId="5" fillId="35" borderId="41" applyAlignment="1" pivotButton="0" quotePrefix="0" xfId="0">
      <alignment wrapText="1"/>
    </xf>
    <xf numFmtId="0" fontId="5" fillId="35" borderId="42" applyAlignment="1" pivotButton="0" quotePrefix="0" xfId="0">
      <alignment wrapText="1"/>
    </xf>
    <xf numFmtId="0" fontId="26" fillId="35" borderId="39" applyAlignment="1" pivotButton="0" quotePrefix="0" xfId="0">
      <alignment wrapText="1"/>
    </xf>
    <xf numFmtId="0" fontId="26" fillId="35" borderId="0" applyAlignment="1" pivotButton="0" quotePrefix="0" xfId="0">
      <alignment wrapText="1"/>
    </xf>
    <xf numFmtId="0" fontId="19" fillId="35" borderId="39" applyAlignment="1" pivotButton="0" quotePrefix="0" xfId="0">
      <alignment horizontal="center" vertical="center" wrapText="1"/>
    </xf>
    <xf numFmtId="0" fontId="19" fillId="35" borderId="0" applyAlignment="1" pivotButton="0" quotePrefix="0" xfId="0">
      <alignment horizontal="center" vertical="center" wrapText="1"/>
    </xf>
    <xf numFmtId="0" fontId="26" fillId="35" borderId="41" applyAlignment="1" pivotButton="0" quotePrefix="0" xfId="0">
      <alignment wrapText="1"/>
    </xf>
    <xf numFmtId="0" fontId="26" fillId="35" borderId="42" applyAlignment="1" pivotButton="0" quotePrefix="0" xfId="0">
      <alignment wrapText="1"/>
    </xf>
    <xf numFmtId="0" fontId="26" fillId="35" borderId="39" applyAlignment="1" pivotButton="0" quotePrefix="0" xfId="0">
      <alignment horizontal="center" wrapText="1"/>
    </xf>
    <xf numFmtId="0" fontId="26" fillId="35" borderId="0" applyAlignment="1" pivotButton="0" quotePrefix="0" xfId="0">
      <alignment horizontal="center" wrapText="1"/>
    </xf>
    <xf numFmtId="0" fontId="26" fillId="35" borderId="41" applyAlignment="1" pivotButton="0" quotePrefix="0" xfId="0">
      <alignment horizontal="center" wrapText="1"/>
    </xf>
    <xf numFmtId="0" fontId="26" fillId="35" borderId="42" applyAlignment="1" pivotButton="0" quotePrefix="0" xfId="0">
      <alignment horizontal="center" wrapText="1"/>
    </xf>
    <xf numFmtId="0" fontId="26" fillId="35" borderId="39" applyAlignment="1" pivotButton="0" quotePrefix="0" xfId="0">
      <alignment horizontal="center" vertical="center" wrapText="1"/>
    </xf>
    <xf numFmtId="0" fontId="26" fillId="35" borderId="0" applyAlignment="1" pivotButton="0" quotePrefix="0" xfId="0">
      <alignment horizontal="center" vertical="center" wrapText="1"/>
    </xf>
    <xf numFmtId="0" fontId="26" fillId="35" borderId="41" applyAlignment="1" pivotButton="0" quotePrefix="0" xfId="0">
      <alignment horizontal="center" vertical="center" wrapText="1"/>
    </xf>
    <xf numFmtId="0" fontId="26" fillId="35" borderId="42" applyAlignment="1" pivotButton="0" quotePrefix="0" xfId="0">
      <alignment horizontal="center" vertical="center" wrapText="1"/>
    </xf>
    <xf numFmtId="0" fontId="5" fillId="35" borderId="0" applyAlignment="1" pivotButton="0" quotePrefix="0" xfId="0">
      <alignment wrapText="1"/>
    </xf>
    <xf numFmtId="0" fontId="4" fillId="35" borderId="0" applyAlignment="1" pivotButton="0" quotePrefix="0" xfId="0">
      <alignment horizontal="center" vertical="center" wrapText="1"/>
    </xf>
    <xf numFmtId="0" fontId="26" fillId="35" borderId="0" applyAlignment="1" pivotButton="0" quotePrefix="0" xfId="0">
      <alignment wrapText="1"/>
    </xf>
    <xf numFmtId="0" fontId="19" fillId="35" borderId="0" applyAlignment="1" pivotButton="0" quotePrefix="0" xfId="0">
      <alignment horizontal="center" vertical="center" wrapText="1"/>
    </xf>
    <xf numFmtId="0" fontId="26" fillId="35" borderId="0" applyAlignment="1" pivotButton="0" quotePrefix="0" xfId="0">
      <alignment horizontal="center" wrapText="1"/>
    </xf>
    <xf numFmtId="0" fontId="26" fillId="35" borderId="0" applyAlignment="1" pivotButton="0" quotePrefix="0" xfId="0">
      <alignment horizontal="center" vertical="center" wrapText="1"/>
    </xf>
    <xf numFmtId="0" fontId="5" fillId="35" borderId="40" applyAlignment="1" pivotButton="0" quotePrefix="0" xfId="0">
      <alignment wrapText="1"/>
    </xf>
    <xf numFmtId="0" fontId="4" fillId="35" borderId="40" applyAlignment="1" pivotButton="0" quotePrefix="0" xfId="0">
      <alignment horizontal="center" vertical="center" wrapText="1"/>
    </xf>
    <xf numFmtId="0" fontId="5" fillId="35" borderId="43" applyAlignment="1" pivotButton="0" quotePrefix="0" xfId="0">
      <alignment wrapText="1"/>
    </xf>
    <xf numFmtId="0" fontId="26" fillId="35" borderId="40" applyAlignment="1" pivotButton="0" quotePrefix="0" xfId="0">
      <alignment wrapText="1"/>
    </xf>
    <xf numFmtId="0" fontId="19" fillId="35" borderId="40" applyAlignment="1" pivotButton="0" quotePrefix="0" xfId="0">
      <alignment horizontal="center" vertical="center" wrapText="1"/>
    </xf>
    <xf numFmtId="0" fontId="26" fillId="35" borderId="43" applyAlignment="1" pivotButton="0" quotePrefix="0" xfId="0">
      <alignment wrapText="1"/>
    </xf>
    <xf numFmtId="0" fontId="26" fillId="35" borderId="40" applyAlignment="1" pivotButton="0" quotePrefix="0" xfId="0">
      <alignment horizontal="center" wrapText="1"/>
    </xf>
    <xf numFmtId="0" fontId="26" fillId="35" borderId="43" applyAlignment="1" pivotButton="0" quotePrefix="0" xfId="0">
      <alignment horizontal="center" wrapText="1"/>
    </xf>
    <xf numFmtId="0" fontId="26" fillId="35" borderId="40" applyAlignment="1" pivotButton="0" quotePrefix="0" xfId="0">
      <alignment horizontal="center" vertical="center" wrapText="1"/>
    </xf>
    <xf numFmtId="0" fontId="26" fillId="35" borderId="43" applyAlignment="1" pivotButton="0" quotePrefix="0" xfId="0">
      <alignment horizontal="center" vertical="center" wrapText="1"/>
    </xf>
    <xf numFmtId="0" fontId="5" fillId="35" borderId="0" pivotButton="0" quotePrefix="0" xfId="0"/>
    <xf numFmtId="0" fontId="26" fillId="35" borderId="0" pivotButton="0" quotePrefix="0" xfId="0"/>
    <xf numFmtId="0" fontId="26" fillId="35" borderId="0" applyAlignment="1" pivotButton="0" quotePrefix="0" xfId="0">
      <alignment horizontal="center"/>
    </xf>
    <xf numFmtId="0" fontId="26" fillId="35" borderId="0" applyAlignment="1" pivotButton="0" quotePrefix="0" xfId="0">
      <alignment horizontal="center" vertical="center"/>
    </xf>
    <xf numFmtId="3" fontId="26" fillId="35" borderId="39" applyAlignment="1" pivotButton="0" quotePrefix="0" xfId="0">
      <alignment horizontal="center" vertical="center" wrapText="1"/>
    </xf>
    <xf numFmtId="3" fontId="26" fillId="35" borderId="0" applyAlignment="1" pivotButton="0" quotePrefix="0" xfId="0">
      <alignment horizontal="center" vertical="center" wrapText="1"/>
    </xf>
    <xf numFmtId="3" fontId="19" fillId="35" borderId="39" applyAlignment="1" pivotButton="0" quotePrefix="0" xfId="0">
      <alignment horizontal="center" vertical="center" wrapText="1"/>
    </xf>
    <xf numFmtId="3" fontId="19" fillId="35" borderId="0" applyAlignment="1" pivotButton="0" quotePrefix="0" xfId="0">
      <alignment horizontal="center" vertical="center" wrapText="1"/>
    </xf>
    <xf numFmtId="3" fontId="26" fillId="35" borderId="41" applyAlignment="1" pivotButton="0" quotePrefix="0" xfId="0">
      <alignment horizontal="center" vertical="center" wrapText="1"/>
    </xf>
    <xf numFmtId="3" fontId="26" fillId="35" borderId="42" applyAlignment="1" pivotButton="0" quotePrefix="0" xfId="0">
      <alignment horizontal="center" vertical="center" wrapText="1"/>
    </xf>
    <xf numFmtId="3" fontId="26" fillId="35" borderId="0" applyAlignment="1" pivotButton="0" quotePrefix="0" xfId="0">
      <alignment horizontal="center" vertical="center" wrapText="1"/>
    </xf>
    <xf numFmtId="3" fontId="19" fillId="35" borderId="0" applyAlignment="1" pivotButton="0" quotePrefix="0" xfId="0">
      <alignment horizontal="center" vertical="center" wrapText="1"/>
    </xf>
    <xf numFmtId="0" fontId="4" fillId="34" borderId="54" applyAlignment="1" pivotButton="0" quotePrefix="0" xfId="0">
      <alignment horizontal="center" wrapText="1"/>
    </xf>
    <xf numFmtId="0" fontId="4" fillId="34" borderId="55" applyAlignment="1" pivotButton="0" quotePrefix="0" xfId="0">
      <alignment horizontal="center" wrapText="1"/>
    </xf>
    <xf numFmtId="0" fontId="4" fillId="34" borderId="56" applyAlignment="1" pivotButton="0" quotePrefix="0" xfId="0">
      <alignment horizontal="center" wrapText="1"/>
    </xf>
    <xf numFmtId="0" fontId="4" fillId="34" borderId="55" applyAlignment="1" pivotButton="0" quotePrefix="0" xfId="0">
      <alignment horizontal="center"/>
    </xf>
    <xf numFmtId="0" fontId="4" fillId="34" borderId="57" applyAlignment="1" pivotButton="0" quotePrefix="0" xfId="0">
      <alignment horizontal="center"/>
    </xf>
    <xf numFmtId="3" fontId="26" fillId="35" borderId="48" applyAlignment="1" pivotButton="0" quotePrefix="0" xfId="0">
      <alignment horizontal="center" vertical="center" wrapText="1"/>
    </xf>
    <xf numFmtId="0" fontId="26" fillId="35" borderId="0" applyAlignment="1" pivotButton="0" quotePrefix="0" xfId="0">
      <alignment horizontal="center" vertical="center"/>
    </xf>
    <xf numFmtId="0" fontId="26" fillId="35" borderId="49" applyAlignment="1" pivotButton="0" quotePrefix="0" xfId="0">
      <alignment horizontal="center" vertical="center"/>
    </xf>
    <xf numFmtId="3" fontId="19" fillId="35" borderId="48" applyAlignment="1" pivotButton="0" quotePrefix="0" xfId="0">
      <alignment horizontal="center" vertical="center" wrapText="1"/>
    </xf>
    <xf numFmtId="3" fontId="26" fillId="35" borderId="50" applyAlignment="1" pivotButton="0" quotePrefix="0" xfId="0">
      <alignment horizontal="center" vertical="center" wrapText="1"/>
    </xf>
    <xf numFmtId="3" fontId="26" fillId="35" borderId="51" applyAlignment="1" pivotButton="0" quotePrefix="0" xfId="0">
      <alignment horizontal="center" vertical="center" wrapText="1"/>
    </xf>
    <xf numFmtId="0" fontId="26" fillId="35" borderId="51" applyAlignment="1" pivotButton="0" quotePrefix="0" xfId="0">
      <alignment horizontal="center" vertical="center" wrapText="1"/>
    </xf>
    <xf numFmtId="0" fontId="26" fillId="35" borderId="52" applyAlignment="1" pivotButton="0" quotePrefix="0" xfId="0">
      <alignment horizontal="center" vertical="center" wrapText="1"/>
    </xf>
    <xf numFmtId="0" fontId="26" fillId="35" borderId="51" applyAlignment="1" pivotButton="0" quotePrefix="0" xfId="0">
      <alignment horizontal="center" vertical="center"/>
    </xf>
    <xf numFmtId="0" fontId="26" fillId="35" borderId="53" applyAlignment="1" pivotButton="0" quotePrefix="0" xfId="0">
      <alignment horizontal="center" vertical="center"/>
    </xf>
    <xf numFmtId="0" fontId="14" fillId="36" borderId="0" applyAlignment="1" pivotButton="0" quotePrefix="0" xfId="0">
      <alignment vertical="center" wrapText="1"/>
    </xf>
    <xf numFmtId="0" fontId="5" fillId="36" borderId="0" pivotButton="0" quotePrefix="0" xfId="0"/>
    <xf numFmtId="0" fontId="14" fillId="36" borderId="0" pivotButton="0" quotePrefix="0" xfId="0"/>
    <xf numFmtId="0" fontId="14" fillId="36" borderId="0" applyAlignment="1" pivotButton="0" quotePrefix="0" xfId="0">
      <alignment wrapText="1"/>
    </xf>
    <xf numFmtId="0" fontId="4" fillId="37" borderId="0" pivotButton="0" quotePrefix="0" xfId="0"/>
    <xf numFmtId="0" fontId="5" fillId="37" borderId="0" pivotButton="0" quotePrefix="0" xfId="0"/>
    <xf numFmtId="0" fontId="27" fillId="37" borderId="0" pivotButton="0" quotePrefix="0" xfId="0"/>
    <xf numFmtId="0" fontId="4" fillId="37" borderId="44" pivotButton="0" quotePrefix="0" xfId="0"/>
    <xf numFmtId="0" fontId="4" fillId="37" borderId="45" pivotButton="0" quotePrefix="0" xfId="0"/>
    <xf numFmtId="0" fontId="4" fillId="37" borderId="47" pivotButton="0" quotePrefix="0" xfId="0"/>
    <xf numFmtId="0" fontId="4" fillId="37" borderId="44" applyAlignment="1" pivotButton="0" quotePrefix="0" xfId="0">
      <alignment wrapText="1"/>
    </xf>
    <xf numFmtId="0" fontId="4" fillId="37" borderId="45" applyAlignment="1" pivotButton="0" quotePrefix="0" xfId="0">
      <alignment wrapText="1"/>
    </xf>
    <xf numFmtId="0" fontId="4" fillId="37" borderId="47" applyAlignment="1" pivotButton="0" quotePrefix="0" xfId="0">
      <alignment wrapText="1"/>
    </xf>
    <xf numFmtId="0" fontId="4" fillId="37" borderId="44" applyAlignment="1" pivotButton="0" quotePrefix="0" xfId="0">
      <alignment horizontal="center" wrapText="1"/>
    </xf>
    <xf numFmtId="0" fontId="4" fillId="37" borderId="45" applyAlignment="1" pivotButton="0" quotePrefix="0" xfId="0">
      <alignment horizontal="center" wrapText="1"/>
    </xf>
    <xf numFmtId="0" fontId="4" fillId="37" borderId="47" applyAlignment="1" pivotButton="0" quotePrefix="0" xfId="0">
      <alignment horizontal="center" wrapText="1"/>
    </xf>
    <xf numFmtId="0" fontId="4" fillId="37" borderId="44" applyAlignment="1" pivotButton="0" quotePrefix="0" xfId="0">
      <alignment horizontal="center" vertical="center" wrapText="1"/>
    </xf>
    <xf numFmtId="0" fontId="4" fillId="37" borderId="45" applyAlignment="1" pivotButton="0" quotePrefix="0" xfId="0">
      <alignment horizontal="center" vertical="center" wrapText="1"/>
    </xf>
    <xf numFmtId="0" fontId="4" fillId="37" borderId="47" applyAlignment="1" pivotButton="0" quotePrefix="0" xfId="0">
      <alignment horizontal="center" vertical="center" wrapText="1"/>
    </xf>
    <xf numFmtId="0" fontId="5" fillId="0" borderId="48" pivotButton="0" quotePrefix="0" xfId="0"/>
    <xf numFmtId="0" fontId="5" fillId="0" borderId="0" pivotButton="0" quotePrefix="0" xfId="0"/>
    <xf numFmtId="0" fontId="5" fillId="0" borderId="49" pivotButton="0" quotePrefix="0" xfId="0"/>
    <xf numFmtId="0" fontId="5" fillId="0" borderId="50" pivotButton="0" quotePrefix="0" xfId="0"/>
    <xf numFmtId="0" fontId="5" fillId="0" borderId="51" pivotButton="0" quotePrefix="0" xfId="0"/>
    <xf numFmtId="0" fontId="5" fillId="0" borderId="53" pivotButton="0" quotePrefix="0" xfId="0"/>
    <xf numFmtId="0" fontId="0" fillId="38" borderId="0" pivotButton="0" quotePrefix="0" xfId="0"/>
    <xf numFmtId="0" fontId="1" fillId="38" borderId="0" pivotButton="0" quotePrefix="0" xfId="0"/>
    <xf numFmtId="0" fontId="3" fillId="38" borderId="0" pivotButton="0" quotePrefix="0" xfId="0"/>
    <xf numFmtId="0" fontId="3" fillId="38" borderId="44" pivotButton="0" quotePrefix="0" xfId="0"/>
    <xf numFmtId="0" fontId="3" fillId="38" borderId="45" pivotButton="0" quotePrefix="0" xfId="0"/>
    <xf numFmtId="0" fontId="3" fillId="38" borderId="47" pivotButton="0" quotePrefix="0" xfId="0"/>
    <xf numFmtId="0" fontId="3" fillId="38" borderId="44" applyAlignment="1" pivotButton="0" quotePrefix="0" xfId="0">
      <alignment wrapText="1"/>
    </xf>
    <xf numFmtId="0" fontId="3" fillId="38" borderId="45" applyAlignment="1" pivotButton="0" quotePrefix="0" xfId="0">
      <alignment wrapText="1"/>
    </xf>
    <xf numFmtId="0" fontId="3" fillId="38" borderId="47" applyAlignment="1" pivotButton="0" quotePrefix="0" xfId="0">
      <alignment wrapText="1"/>
    </xf>
    <xf numFmtId="0" fontId="3" fillId="38" borderId="44" applyAlignment="1" pivotButton="0" quotePrefix="0" xfId="0">
      <alignment horizontal="center" wrapText="1"/>
    </xf>
    <xf numFmtId="0" fontId="3" fillId="38" borderId="45" applyAlignment="1" pivotButton="0" quotePrefix="0" xfId="0">
      <alignment horizontal="center" wrapText="1"/>
    </xf>
    <xf numFmtId="0" fontId="3" fillId="38" borderId="47" applyAlignment="1" pivotButton="0" quotePrefix="0" xfId="0">
      <alignment horizontal="center" wrapText="1"/>
    </xf>
    <xf numFmtId="0" fontId="3" fillId="38" borderId="44" applyAlignment="1" pivotButton="0" quotePrefix="0" xfId="0">
      <alignment horizontal="center" vertical="center" wrapText="1"/>
    </xf>
    <xf numFmtId="0" fontId="3" fillId="38" borderId="45" applyAlignment="1" pivotButton="0" quotePrefix="0" xfId="0">
      <alignment horizontal="center" vertical="center" wrapText="1"/>
    </xf>
    <xf numFmtId="0" fontId="3" fillId="38" borderId="47" applyAlignment="1" pivotButton="0" quotePrefix="0" xfId="0">
      <alignment horizontal="center" vertical="center" wrapText="1"/>
    </xf>
    <xf numFmtId="0" fontId="0" fillId="0" borderId="48" pivotButton="0" quotePrefix="0" xfId="0"/>
    <xf numFmtId="0" fontId="0" fillId="0" borderId="49" pivotButton="0" quotePrefix="0" xfId="0"/>
    <xf numFmtId="0" fontId="0" fillId="0" borderId="50" pivotButton="0" quotePrefix="0" xfId="0"/>
    <xf numFmtId="0" fontId="0" fillId="0" borderId="51" pivotButton="0" quotePrefix="0" xfId="0"/>
    <xf numFmtId="0" fontId="0" fillId="0" borderId="53" pivotButton="0" quotePrefix="0" xfId="0"/>
    <xf numFmtId="0" fontId="5" fillId="39" borderId="0" pivotButton="0" quotePrefix="0" xfId="0"/>
    <xf numFmtId="0" fontId="27" fillId="39" borderId="0" pivotButton="0" quotePrefix="0" xfId="0"/>
    <xf numFmtId="0" fontId="4" fillId="39" borderId="0" pivotButton="0" quotePrefix="0" xfId="0"/>
    <xf numFmtId="0" fontId="4" fillId="39" borderId="44" pivotButton="0" quotePrefix="0" xfId="0"/>
    <xf numFmtId="0" fontId="4" fillId="39" borderId="45" pivotButton="0" quotePrefix="0" xfId="0"/>
    <xf numFmtId="0" fontId="4" fillId="39" borderId="47" pivotButton="0" quotePrefix="0" xfId="0"/>
    <xf numFmtId="0" fontId="4" fillId="39" borderId="44" applyAlignment="1" pivotButton="0" quotePrefix="0" xfId="0">
      <alignment wrapText="1"/>
    </xf>
    <xf numFmtId="0" fontId="4" fillId="39" borderId="45" applyAlignment="1" pivotButton="0" quotePrefix="0" xfId="0">
      <alignment wrapText="1"/>
    </xf>
    <xf numFmtId="0" fontId="4" fillId="39" borderId="47" applyAlignment="1" pivotButton="0" quotePrefix="0" xfId="0">
      <alignment wrapText="1"/>
    </xf>
    <xf numFmtId="0" fontId="4" fillId="39" borderId="44" applyAlignment="1" pivotButton="0" quotePrefix="0" xfId="0">
      <alignment horizontal="center" wrapText="1"/>
    </xf>
    <xf numFmtId="0" fontId="4" fillId="39" borderId="45" applyAlignment="1" pivotButton="0" quotePrefix="0" xfId="0">
      <alignment horizontal="center" wrapText="1"/>
    </xf>
    <xf numFmtId="0" fontId="4" fillId="39" borderId="47" applyAlignment="1" pivotButton="0" quotePrefix="0" xfId="0">
      <alignment horizontal="center" wrapText="1"/>
    </xf>
    <xf numFmtId="0" fontId="4" fillId="39" borderId="44" applyAlignment="1" pivotButton="0" quotePrefix="0" xfId="0">
      <alignment horizontal="center" vertical="center" wrapText="1"/>
    </xf>
    <xf numFmtId="0" fontId="4" fillId="39" borderId="45" applyAlignment="1" pivotButton="0" quotePrefix="0" xfId="0">
      <alignment horizontal="center" vertical="center" wrapText="1"/>
    </xf>
    <xf numFmtId="0" fontId="4" fillId="39" borderId="47" applyAlignment="1" pivotButton="0" quotePrefix="0" xfId="0">
      <alignment horizontal="center" vertical="center" wrapText="1"/>
    </xf>
    <xf numFmtId="0" fontId="4" fillId="31" borderId="0" applyAlignment="1" pivotButton="0" quotePrefix="0" xfId="0">
      <alignment horizontal="left" vertical="center"/>
    </xf>
    <xf numFmtId="0" fontId="4" fillId="31" borderId="0" applyAlignment="1" pivotButton="0" quotePrefix="0" xfId="0">
      <alignment vertical="center"/>
    </xf>
    <xf numFmtId="3" fontId="17" fillId="35" borderId="48" applyAlignment="1" pivotButton="0" quotePrefix="0" xfId="0">
      <alignment horizontal="center" vertical="center" wrapText="1"/>
    </xf>
    <xf numFmtId="3" fontId="17" fillId="35" borderId="0" applyAlignment="1" pivotButton="0" quotePrefix="0" xfId="0">
      <alignment horizontal="center" vertical="center" wrapText="1"/>
    </xf>
    <xf numFmtId="0" fontId="17" fillId="35" borderId="0" applyAlignment="1" pivotButton="0" quotePrefix="0" xfId="0">
      <alignment horizontal="center" vertical="center" wrapText="1"/>
    </xf>
    <xf numFmtId="0" fontId="17" fillId="35" borderId="40" applyAlignment="1" pivotButton="0" quotePrefix="0" xfId="0">
      <alignment horizontal="center" vertical="center" wrapText="1"/>
    </xf>
    <xf numFmtId="0" fontId="17" fillId="35" borderId="0" applyAlignment="1" pivotButton="0" quotePrefix="0" xfId="0">
      <alignment horizontal="center" vertical="center"/>
    </xf>
    <xf numFmtId="0" fontId="17" fillId="35" borderId="49" applyAlignment="1" pivotButton="0" quotePrefix="0" xfId="0">
      <alignment horizontal="center" vertical="center"/>
    </xf>
    <xf numFmtId="3" fontId="4" fillId="35" borderId="48" applyAlignment="1" pivotButton="0" quotePrefix="0" xfId="0">
      <alignment horizontal="center" vertical="center" wrapText="1"/>
    </xf>
    <xf numFmtId="3" fontId="4" fillId="35" borderId="0" applyAlignment="1" pivotButton="0" quotePrefix="0" xfId="0">
      <alignment horizontal="center" vertical="center" wrapText="1"/>
    </xf>
    <xf numFmtId="3" fontId="17" fillId="35" borderId="50" applyAlignment="1" pivotButton="0" quotePrefix="0" xfId="0">
      <alignment horizontal="center" vertical="center" wrapText="1"/>
    </xf>
    <xf numFmtId="3" fontId="17" fillId="35" borderId="51" applyAlignment="1" pivotButton="0" quotePrefix="0" xfId="0">
      <alignment horizontal="center" vertical="center" wrapText="1"/>
    </xf>
    <xf numFmtId="0" fontId="17" fillId="35" borderId="51" applyAlignment="1" pivotButton="0" quotePrefix="0" xfId="0">
      <alignment horizontal="center" vertical="center" wrapText="1"/>
    </xf>
    <xf numFmtId="0" fontId="17" fillId="35" borderId="52" applyAlignment="1" pivotButton="0" quotePrefix="0" xfId="0">
      <alignment horizontal="center" vertical="center" wrapText="1"/>
    </xf>
    <xf numFmtId="0" fontId="17" fillId="35" borderId="51" applyAlignment="1" pivotButton="0" quotePrefix="0" xfId="0">
      <alignment horizontal="center" vertical="center"/>
    </xf>
    <xf numFmtId="0" fontId="17" fillId="35" borderId="53" applyAlignment="1" pivotButton="0" quotePrefix="0" xfId="0">
      <alignment horizontal="center" vertical="center"/>
    </xf>
    <xf numFmtId="0" fontId="17" fillId="35" borderId="0" applyAlignment="1" pivotButton="0" quotePrefix="0" xfId="0">
      <alignment horizontal="center" vertical="center" wrapText="1"/>
    </xf>
    <xf numFmtId="0" fontId="4" fillId="4" borderId="36" applyAlignment="1" pivotButton="0" quotePrefix="0" xfId="0">
      <alignment horizontal="center"/>
    </xf>
    <xf numFmtId="3" fontId="4" fillId="4" borderId="37" applyAlignment="1" pivotButton="0" quotePrefix="0" xfId="0">
      <alignment horizontal="center"/>
    </xf>
    <xf numFmtId="3" fontId="4" fillId="4" borderId="38" applyAlignment="1" pivotButton="0" quotePrefix="0" xfId="0">
      <alignment horizontal="center"/>
    </xf>
    <xf numFmtId="3" fontId="5" fillId="6" borderId="42" pivotButton="0" quotePrefix="0" xfId="0"/>
    <xf numFmtId="0" fontId="4" fillId="38" borderId="0" pivotButton="0" quotePrefix="0" xfId="0"/>
    <xf numFmtId="0" fontId="4" fillId="38" borderId="44" applyAlignment="1" pivotButton="0" quotePrefix="0" xfId="0">
      <alignment horizontal="center" vertical="center" wrapText="1"/>
    </xf>
    <xf numFmtId="0" fontId="4" fillId="38" borderId="45" applyAlignment="1" pivotButton="0" quotePrefix="0" xfId="0">
      <alignment horizontal="center" vertical="center" wrapText="1"/>
    </xf>
    <xf numFmtId="0" fontId="4" fillId="38" borderId="47" applyAlignment="1" pivotButton="0" quotePrefix="0" xfId="0">
      <alignment horizontal="center" vertical="center" wrapText="1"/>
    </xf>
    <xf numFmtId="0" fontId="19" fillId="38" borderId="0" pivotButton="0" quotePrefix="0" xfId="0"/>
    <xf numFmtId="0" fontId="5" fillId="2" borderId="0" pivotButton="0" quotePrefix="0" xfId="0"/>
    <xf numFmtId="0" fontId="24" fillId="2" borderId="0" applyAlignment="1" pivotButton="0" quotePrefix="0" xfId="0">
      <alignment horizontal="left" vertical="center"/>
    </xf>
    <xf numFmtId="0" fontId="24" fillId="2" borderId="0" applyAlignment="1" pivotButton="0" quotePrefix="0" xfId="0">
      <alignment vertical="center"/>
    </xf>
    <xf numFmtId="0" fontId="24" fillId="2" borderId="0" pivotButton="0" quotePrefix="0" xfId="0"/>
    <xf numFmtId="0" fontId="5" fillId="11" borderId="0" pivotButton="0" quotePrefix="0" xfId="0"/>
    <xf numFmtId="0" fontId="25" fillId="11" borderId="0" applyAlignment="1" pivotButton="0" quotePrefix="0" xfId="0">
      <alignment vertical="center" wrapText="1"/>
    </xf>
    <xf numFmtId="0" fontId="25" fillId="11" borderId="0" pivotButton="0" quotePrefix="0" xfId="0"/>
    <xf numFmtId="0" fontId="25" fillId="11" borderId="0" applyAlignment="1" pivotButton="0" quotePrefix="0" xfId="0">
      <alignment wrapText="1"/>
    </xf>
    <xf numFmtId="0" fontId="4" fillId="4" borderId="0" applyAlignment="1" pivotButton="0" quotePrefix="0" xfId="0">
      <alignment wrapText="1"/>
    </xf>
    <xf numFmtId="0" fontId="4" fillId="4" borderId="0" applyAlignment="1" pivotButton="0" quotePrefix="0" xfId="0">
      <alignment horizontal="center" wrapText="1"/>
    </xf>
    <xf numFmtId="0" fontId="5" fillId="14" borderId="0" applyAlignment="1" pivotButton="0" quotePrefix="0" xfId="0">
      <alignment wrapText="1"/>
    </xf>
    <xf numFmtId="0" fontId="4" fillId="14" borderId="0" applyAlignment="1" pivotButton="0" quotePrefix="0" xfId="0">
      <alignment wrapText="1"/>
    </xf>
    <xf numFmtId="0" fontId="4" fillId="14" borderId="0" applyAlignment="1" pivotButton="0" quotePrefix="0" xfId="0">
      <alignment horizontal="center" wrapText="1"/>
    </xf>
    <xf numFmtId="0" fontId="5" fillId="14" borderId="0" pivotButton="0" quotePrefix="0" xfId="0"/>
    <xf numFmtId="0" fontId="4" fillId="14" borderId="0" pivotButton="0" quotePrefix="0" xfId="0"/>
    <xf numFmtId="0" fontId="4" fillId="14" borderId="0" applyAlignment="1" pivotButton="0" quotePrefix="0" xfId="0">
      <alignment horizontal="center"/>
    </xf>
    <xf numFmtId="0" fontId="5" fillId="12" borderId="0" applyAlignment="1" pivotButton="0" quotePrefix="0" xfId="0">
      <alignment wrapText="1"/>
    </xf>
    <xf numFmtId="0" fontId="5" fillId="12" borderId="0" applyAlignment="1" pivotButton="0" quotePrefix="0" xfId="0">
      <alignment wrapText="1"/>
    </xf>
    <xf numFmtId="0" fontId="4" fillId="12" borderId="0" applyAlignment="1" pivotButton="0" quotePrefix="0" xfId="0">
      <alignment horizontal="center" vertical="center" wrapText="1"/>
    </xf>
    <xf numFmtId="0" fontId="4" fillId="12" borderId="0" applyAlignment="1" pivotButton="0" quotePrefix="0" xfId="0">
      <alignment horizontal="center" vertical="center" wrapText="1"/>
    </xf>
    <xf numFmtId="0" fontId="26" fillId="12" borderId="0" applyAlignment="1" pivotButton="0" quotePrefix="0" xfId="0">
      <alignment wrapText="1"/>
    </xf>
    <xf numFmtId="0" fontId="26" fillId="12" borderId="0" applyAlignment="1" pivotButton="0" quotePrefix="0" xfId="0">
      <alignment wrapText="1"/>
    </xf>
    <xf numFmtId="0" fontId="19" fillId="12" borderId="0" applyAlignment="1" pivotButton="0" quotePrefix="0" xfId="0">
      <alignment horizontal="center" vertical="center" wrapText="1"/>
    </xf>
    <xf numFmtId="0" fontId="19" fillId="12" borderId="0" applyAlignment="1" pivotButton="0" quotePrefix="0" xfId="0">
      <alignment horizontal="center" vertical="center" wrapText="1"/>
    </xf>
    <xf numFmtId="0" fontId="26" fillId="12" borderId="0" applyAlignment="1" pivotButton="0" quotePrefix="0" xfId="0">
      <alignment horizontal="center" wrapText="1"/>
    </xf>
    <xf numFmtId="0" fontId="26" fillId="12" borderId="0" applyAlignment="1" pivotButton="0" quotePrefix="0" xfId="0">
      <alignment horizontal="center" wrapText="1"/>
    </xf>
    <xf numFmtId="0" fontId="26" fillId="12" borderId="0" applyAlignment="1" pivotButton="0" quotePrefix="0" xfId="0">
      <alignment horizontal="center" vertical="center" wrapText="1"/>
    </xf>
    <xf numFmtId="0" fontId="26" fillId="12" borderId="0" applyAlignment="1" pivotButton="0" quotePrefix="0" xfId="0">
      <alignment horizontal="center" vertical="center" wrapText="1"/>
    </xf>
    <xf numFmtId="0" fontId="5" fillId="12" borderId="0" pivotButton="0" quotePrefix="0" xfId="0"/>
    <xf numFmtId="0" fontId="26" fillId="12" borderId="0" pivotButton="0" quotePrefix="0" xfId="0"/>
    <xf numFmtId="0" fontId="26" fillId="12" borderId="0" applyAlignment="1" pivotButton="0" quotePrefix="0" xfId="0">
      <alignment horizontal="center"/>
    </xf>
    <xf numFmtId="0" fontId="26" fillId="12" borderId="0" applyAlignment="1" pivotButton="0" quotePrefix="0" xfId="0">
      <alignment horizontal="center" vertical="center"/>
    </xf>
    <xf numFmtId="3" fontId="26" fillId="12" borderId="0" applyAlignment="1" pivotButton="0" quotePrefix="0" xfId="0">
      <alignment horizontal="center" vertical="center" wrapText="1"/>
    </xf>
    <xf numFmtId="3" fontId="26" fillId="12" borderId="0" applyAlignment="1" pivotButton="0" quotePrefix="0" xfId="0">
      <alignment horizontal="center" vertical="center" wrapText="1"/>
    </xf>
    <xf numFmtId="3" fontId="19" fillId="12" borderId="0" applyAlignment="1" pivotButton="0" quotePrefix="0" xfId="0">
      <alignment horizontal="center" vertical="center" wrapText="1"/>
    </xf>
    <xf numFmtId="3" fontId="19" fillId="12" borderId="0" applyAlignment="1" pivotButton="0" quotePrefix="0" xfId="0">
      <alignment horizontal="center" vertical="center" wrapText="1"/>
    </xf>
    <xf numFmtId="0" fontId="26" fillId="12" borderId="0" applyAlignment="1" pivotButton="0" quotePrefix="0" xfId="0">
      <alignment horizontal="center" vertical="center"/>
    </xf>
    <xf numFmtId="0" fontId="4" fillId="5" borderId="0" pivotButton="0" quotePrefix="0" xfId="0"/>
    <xf numFmtId="0" fontId="5" fillId="5" borderId="0" pivotButton="0" quotePrefix="0" xfId="0"/>
    <xf numFmtId="0" fontId="27" fillId="5" borderId="0" pivotButton="0" quotePrefix="0" xfId="0"/>
    <xf numFmtId="0" fontId="4" fillId="5" borderId="0" applyAlignment="1" pivotButton="0" quotePrefix="0" xfId="0">
      <alignment wrapText="1"/>
    </xf>
    <xf numFmtId="0" fontId="4" fillId="5" borderId="0" applyAlignment="1" pivotButton="0" quotePrefix="0" xfId="0">
      <alignment horizontal="center" wrapText="1"/>
    </xf>
    <xf numFmtId="0" fontId="3" fillId="38" borderId="0" applyAlignment="1" pivotButton="0" quotePrefix="0" xfId="0">
      <alignment wrapText="1"/>
    </xf>
    <xf numFmtId="0" fontId="3" fillId="38" borderId="0" applyAlignment="1" pivotButton="0" quotePrefix="0" xfId="0">
      <alignment horizontal="center" wrapText="1"/>
    </xf>
    <xf numFmtId="0" fontId="3" fillId="38" borderId="0" applyAlignment="1" pivotButton="0" quotePrefix="0" xfId="0">
      <alignment horizontal="center" vertical="center" wrapText="1"/>
    </xf>
    <xf numFmtId="0" fontId="5" fillId="13" borderId="0" pivotButton="0" quotePrefix="0" xfId="0"/>
    <xf numFmtId="0" fontId="27" fillId="13" borderId="0" pivotButton="0" quotePrefix="0" xfId="0"/>
    <xf numFmtId="0" fontId="4" fillId="13" borderId="0" pivotButton="0" quotePrefix="0" xfId="0"/>
    <xf numFmtId="0" fontId="4" fillId="13" borderId="0" applyAlignment="1" pivotButton="0" quotePrefix="0" xfId="0">
      <alignment wrapText="1"/>
    </xf>
    <xf numFmtId="0" fontId="4" fillId="13" borderId="0" applyAlignment="1" pivotButton="0" quotePrefix="0" xfId="0">
      <alignment horizontal="center" wrapText="1"/>
    </xf>
    <xf numFmtId="3" fontId="17" fillId="12" borderId="0" applyAlignment="1" pivotButton="0" quotePrefix="0" xfId="0">
      <alignment horizontal="center" vertical="center" wrapText="1"/>
    </xf>
    <xf numFmtId="3" fontId="17" fillId="12" borderId="0" applyAlignment="1" pivotButton="0" quotePrefix="0" xfId="0">
      <alignment horizontal="center" vertical="center" wrapText="1"/>
    </xf>
    <xf numFmtId="0" fontId="17" fillId="12" borderId="0" applyAlignment="1" pivotButton="0" quotePrefix="0" xfId="0">
      <alignment horizontal="center" vertical="center" wrapText="1"/>
    </xf>
    <xf numFmtId="0" fontId="17" fillId="12" borderId="0" applyAlignment="1" pivotButton="0" quotePrefix="0" xfId="0">
      <alignment horizontal="center" vertical="center" wrapText="1"/>
    </xf>
    <xf numFmtId="0" fontId="17" fillId="12" borderId="0" applyAlignment="1" pivotButton="0" quotePrefix="0" xfId="0">
      <alignment horizontal="center" vertical="center"/>
    </xf>
    <xf numFmtId="0" fontId="17" fillId="12" borderId="0" applyAlignment="1" pivotButton="0" quotePrefix="0" xfId="0">
      <alignment horizontal="center" vertical="center"/>
    </xf>
    <xf numFmtId="3" fontId="4" fillId="12" borderId="0" applyAlignment="1" pivotButton="0" quotePrefix="0" xfId="0">
      <alignment horizontal="center" vertical="center" wrapText="1"/>
    </xf>
    <xf numFmtId="3" fontId="4" fillId="12" borderId="0" applyAlignment="1" pivotButton="0" quotePrefix="0" xfId="0">
      <alignment horizontal="center" vertical="center" wrapText="1"/>
    </xf>
    <xf numFmtId="0" fontId="4" fillId="38" borderId="0" applyAlignment="1" pivotButton="0" quotePrefix="0" xfId="0">
      <alignment horizontal="center" vertical="center" wrapText="1"/>
    </xf>
    <xf numFmtId="0" fontId="24" fillId="40" borderId="0" applyAlignment="1" pivotButton="0" quotePrefix="0" xfId="0">
      <alignment horizontal="left" vertical="center"/>
    </xf>
    <xf numFmtId="0" fontId="24" fillId="40" borderId="0" applyAlignment="1" pivotButton="0" quotePrefix="0" xfId="0">
      <alignment vertical="center"/>
    </xf>
    <xf numFmtId="0" fontId="6" fillId="41" borderId="0" applyAlignment="1" pivotButton="0" quotePrefix="0" xfId="0">
      <alignment vertical="center" wrapText="1"/>
    </xf>
    <xf numFmtId="0" fontId="5" fillId="41" borderId="0" pivotButton="0" quotePrefix="0" xfId="0"/>
    <xf numFmtId="0" fontId="25" fillId="41" borderId="0" applyAlignment="1" pivotButton="0" quotePrefix="0" xfId="0">
      <alignment vertical="center" wrapText="1"/>
    </xf>
    <xf numFmtId="0" fontId="25" fillId="41" borderId="0" pivotButton="0" quotePrefix="0" xfId="0"/>
    <xf numFmtId="0" fontId="25" fillId="41" borderId="0" applyAlignment="1" pivotButton="0" quotePrefix="0" xfId="0">
      <alignment wrapText="1"/>
    </xf>
    <xf numFmtId="0" fontId="5" fillId="42" borderId="48" applyAlignment="1" pivotButton="0" quotePrefix="0" xfId="0">
      <alignment wrapText="1"/>
    </xf>
    <xf numFmtId="0" fontId="5" fillId="42" borderId="0" applyAlignment="1" pivotButton="0" quotePrefix="0" xfId="0">
      <alignment wrapText="1"/>
    </xf>
    <xf numFmtId="0" fontId="5" fillId="42" borderId="0" applyAlignment="1" pivotButton="0" quotePrefix="0" xfId="0">
      <alignment wrapText="1"/>
    </xf>
    <xf numFmtId="0" fontId="5" fillId="42" borderId="49" applyAlignment="1" pivotButton="0" quotePrefix="0" xfId="0">
      <alignment wrapText="1"/>
    </xf>
    <xf numFmtId="0" fontId="4" fillId="42" borderId="48" applyAlignment="1" pivotButton="0" quotePrefix="0" xfId="0">
      <alignment wrapText="1"/>
    </xf>
    <xf numFmtId="0" fontId="4" fillId="42" borderId="0" applyAlignment="1" pivotButton="0" quotePrefix="0" xfId="0">
      <alignment wrapText="1"/>
    </xf>
    <xf numFmtId="0" fontId="4" fillId="42" borderId="0" applyAlignment="1" pivotButton="0" quotePrefix="0" xfId="0">
      <alignment wrapText="1"/>
    </xf>
    <xf numFmtId="0" fontId="4" fillId="42" borderId="49" applyAlignment="1" pivotButton="0" quotePrefix="0" xfId="0">
      <alignment wrapText="1"/>
    </xf>
    <xf numFmtId="0" fontId="4" fillId="42" borderId="48" applyAlignment="1" pivotButton="0" quotePrefix="0" xfId="0">
      <alignment horizontal="center" wrapText="1"/>
    </xf>
    <xf numFmtId="0" fontId="4" fillId="42" borderId="0" applyAlignment="1" pivotButton="0" quotePrefix="0" xfId="0">
      <alignment horizontal="center" wrapText="1"/>
    </xf>
    <xf numFmtId="0" fontId="4" fillId="42" borderId="0" applyAlignment="1" pivotButton="0" quotePrefix="0" xfId="0">
      <alignment horizontal="center" wrapText="1"/>
    </xf>
    <xf numFmtId="0" fontId="4" fillId="42" borderId="49" applyAlignment="1" pivotButton="0" quotePrefix="0" xfId="0">
      <alignment horizontal="center" wrapText="1"/>
    </xf>
    <xf numFmtId="0" fontId="4" fillId="42" borderId="48" applyAlignment="1" pivotButton="0" quotePrefix="0" xfId="0">
      <alignment horizontal="center" vertical="center" wrapText="1"/>
    </xf>
    <xf numFmtId="0" fontId="4" fillId="42" borderId="0" applyAlignment="1" pivotButton="0" quotePrefix="0" xfId="0">
      <alignment horizontal="center" vertical="center" wrapText="1"/>
    </xf>
    <xf numFmtId="0" fontId="4" fillId="42" borderId="0" applyAlignment="1" pivotButton="0" quotePrefix="0" xfId="0">
      <alignment horizontal="center" vertical="center" wrapText="1"/>
    </xf>
    <xf numFmtId="0" fontId="4" fillId="42" borderId="49" applyAlignment="1" pivotButton="0" quotePrefix="0" xfId="0">
      <alignment horizontal="center" vertical="center" wrapText="1"/>
    </xf>
    <xf numFmtId="0" fontId="4" fillId="42" borderId="58" applyAlignment="1" pivotButton="0" quotePrefix="0" xfId="0">
      <alignment horizontal="center" vertical="center" wrapText="1"/>
    </xf>
    <xf numFmtId="0" fontId="4" fillId="42" borderId="59" applyAlignment="1" pivotButton="0" quotePrefix="0" xfId="0">
      <alignment horizontal="center" vertical="center" wrapText="1"/>
    </xf>
    <xf numFmtId="0" fontId="4" fillId="42" borderId="60" applyAlignment="1" pivotButton="0" quotePrefix="0" xfId="0">
      <alignment horizontal="center" vertical="center" wrapText="1"/>
    </xf>
    <xf numFmtId="0" fontId="5" fillId="0" borderId="61" applyAlignment="1" pivotButton="0" quotePrefix="0" xfId="0">
      <alignment wrapText="1"/>
    </xf>
    <xf numFmtId="0" fontId="5" fillId="0" borderId="62" applyAlignment="1" pivotButton="0" quotePrefix="0" xfId="0">
      <alignment wrapText="1"/>
    </xf>
    <xf numFmtId="0" fontId="5" fillId="0" borderId="63" applyAlignment="1" pivotButton="0" quotePrefix="0" xfId="0">
      <alignment wrapText="1"/>
    </xf>
    <xf numFmtId="0" fontId="5" fillId="0" borderId="64" applyAlignment="1" pivotButton="0" quotePrefix="0" xfId="0">
      <alignment wrapText="1"/>
    </xf>
    <xf numFmtId="0" fontId="5" fillId="0" borderId="65" applyAlignment="1" pivotButton="0" quotePrefix="0" xfId="0">
      <alignment wrapText="1"/>
    </xf>
    <xf numFmtId="0" fontId="5" fillId="0" borderId="66" applyAlignment="1" pivotButton="0" quotePrefix="0" xfId="0">
      <alignment wrapText="1"/>
    </xf>
    <xf numFmtId="0" fontId="5" fillId="0" borderId="67" applyAlignment="1" pivotButton="0" quotePrefix="0" xfId="0">
      <alignment wrapText="1"/>
    </xf>
    <xf numFmtId="3" fontId="17" fillId="43" borderId="48" applyAlignment="1" pivotButton="0" quotePrefix="0" xfId="0">
      <alignment horizontal="center" vertical="center" wrapText="1"/>
    </xf>
    <xf numFmtId="3" fontId="17" fillId="43" borderId="0" applyAlignment="1" pivotButton="0" quotePrefix="0" xfId="0">
      <alignment horizontal="center" vertical="center" wrapText="1"/>
    </xf>
    <xf numFmtId="3" fontId="4" fillId="43" borderId="48" applyAlignment="1" pivotButton="0" quotePrefix="0" xfId="0">
      <alignment horizontal="center" vertical="center" wrapText="1"/>
    </xf>
    <xf numFmtId="3" fontId="4" fillId="43" borderId="0" applyAlignment="1" pivotButton="0" quotePrefix="0" xfId="0">
      <alignment horizontal="center" vertical="center" wrapText="1"/>
    </xf>
    <xf numFmtId="3" fontId="17" fillId="43" borderId="0" applyAlignment="1" pivotButton="0" quotePrefix="0" xfId="0">
      <alignment horizontal="center" vertical="center" wrapText="1"/>
    </xf>
    <xf numFmtId="3" fontId="4" fillId="43" borderId="0" applyAlignment="1" pivotButton="0" quotePrefix="0" xfId="0">
      <alignment horizontal="center" vertical="center" wrapText="1"/>
    </xf>
    <xf numFmtId="0" fontId="17" fillId="43" borderId="0" applyAlignment="1" pivotButton="0" quotePrefix="0" xfId="0">
      <alignment horizontal="center" vertical="center" wrapText="1"/>
    </xf>
    <xf numFmtId="0" fontId="17" fillId="43" borderId="0" applyAlignment="1" pivotButton="0" quotePrefix="0" xfId="0">
      <alignment horizontal="center" vertical="center" wrapText="1"/>
    </xf>
    <xf numFmtId="0" fontId="4" fillId="43" borderId="0" applyAlignment="1" pivotButton="0" quotePrefix="0" xfId="0">
      <alignment horizontal="center" vertical="center" wrapText="1"/>
    </xf>
    <xf numFmtId="0" fontId="4" fillId="43" borderId="0" applyAlignment="1" pivotButton="0" quotePrefix="0" xfId="0">
      <alignment horizontal="center" vertical="center" wrapText="1"/>
    </xf>
    <xf numFmtId="0" fontId="17" fillId="43" borderId="0" applyAlignment="1" pivotButton="0" quotePrefix="0" xfId="0">
      <alignment horizontal="center" vertical="center"/>
    </xf>
    <xf numFmtId="0" fontId="17" fillId="43" borderId="49" applyAlignment="1" pivotButton="0" quotePrefix="0" xfId="0">
      <alignment horizontal="center" vertical="center"/>
    </xf>
    <xf numFmtId="0" fontId="4" fillId="43" borderId="0" applyAlignment="1" pivotButton="0" quotePrefix="0" xfId="0">
      <alignment horizontal="center" vertical="center"/>
    </xf>
    <xf numFmtId="0" fontId="4" fillId="43" borderId="49" applyAlignment="1" pivotButton="0" quotePrefix="0" xfId="0">
      <alignment horizontal="center" vertical="center"/>
    </xf>
    <xf numFmtId="0" fontId="17" fillId="43" borderId="0" applyAlignment="1" pivotButton="0" quotePrefix="0" xfId="0">
      <alignment horizontal="center" vertical="center"/>
    </xf>
    <xf numFmtId="0" fontId="4" fillId="43" borderId="0" applyAlignment="1" pivotButton="0" quotePrefix="0" xfId="0">
      <alignment horizontal="center" vertical="center"/>
    </xf>
    <xf numFmtId="3" fontId="4" fillId="44" borderId="48" applyAlignment="1" pivotButton="0" quotePrefix="0" xfId="0">
      <alignment horizontal="center" vertical="center" wrapText="1"/>
    </xf>
    <xf numFmtId="3" fontId="4" fillId="44" borderId="0" applyAlignment="1" pivotButton="0" quotePrefix="0" xfId="0">
      <alignment horizontal="center" vertical="center" wrapText="1"/>
    </xf>
    <xf numFmtId="3" fontId="17" fillId="44" borderId="50" applyAlignment="1" pivotButton="0" quotePrefix="0" xfId="0">
      <alignment horizontal="center" vertical="center" wrapText="1"/>
    </xf>
    <xf numFmtId="3" fontId="17" fillId="44" borderId="51" applyAlignment="1" pivotButton="0" quotePrefix="0" xfId="0">
      <alignment horizontal="center" vertical="center" wrapText="1"/>
    </xf>
    <xf numFmtId="0" fontId="5" fillId="44" borderId="0" applyAlignment="1" pivotButton="0" quotePrefix="0" xfId="0">
      <alignment wrapText="1"/>
    </xf>
    <xf numFmtId="3" fontId="19" fillId="44" borderId="48" applyAlignment="1" pivotButton="0" quotePrefix="0" xfId="0">
      <alignment horizontal="center" vertical="center" wrapText="1"/>
    </xf>
    <xf numFmtId="3" fontId="19" fillId="44" borderId="0" applyAlignment="1" pivotButton="0" quotePrefix="0" xfId="0">
      <alignment horizontal="center" vertical="center" wrapText="1"/>
    </xf>
    <xf numFmtId="3" fontId="26" fillId="44" borderId="50" applyAlignment="1" pivotButton="0" quotePrefix="0" xfId="0">
      <alignment horizontal="center" vertical="center" wrapText="1"/>
    </xf>
    <xf numFmtId="3" fontId="26" fillId="44" borderId="51" applyAlignment="1" pivotButton="0" quotePrefix="0" xfId="0">
      <alignment horizontal="center" vertical="center" wrapText="1"/>
    </xf>
    <xf numFmtId="0" fontId="26" fillId="44" borderId="0" applyAlignment="1" pivotButton="0" quotePrefix="0" xfId="0">
      <alignment wrapText="1"/>
    </xf>
    <xf numFmtId="0" fontId="26" fillId="44" borderId="0" applyAlignment="1" pivotButton="0" quotePrefix="0" xfId="0">
      <alignment horizontal="center" wrapText="1"/>
    </xf>
    <xf numFmtId="0" fontId="26" fillId="44" borderId="0" applyAlignment="1" pivotButton="0" quotePrefix="0" xfId="0">
      <alignment horizontal="center" vertical="center" wrapText="1"/>
    </xf>
    <xf numFmtId="3" fontId="4" fillId="44" borderId="0" applyAlignment="1" pivotButton="0" quotePrefix="0" xfId="0">
      <alignment horizontal="center" vertical="center" wrapText="1"/>
    </xf>
    <xf numFmtId="3" fontId="17" fillId="44" borderId="0" applyAlignment="1" pivotButton="0" quotePrefix="0" xfId="0">
      <alignment horizontal="center" vertical="center" wrapText="1"/>
    </xf>
    <xf numFmtId="3" fontId="19" fillId="44" borderId="0" applyAlignment="1" pivotButton="0" quotePrefix="0" xfId="0">
      <alignment horizontal="center" vertical="center" wrapText="1"/>
    </xf>
    <xf numFmtId="3" fontId="26" fillId="44" borderId="0" applyAlignment="1" pivotButton="0" quotePrefix="0" xfId="0">
      <alignment horizontal="center" vertical="center" wrapText="1"/>
    </xf>
    <xf numFmtId="0" fontId="4" fillId="44" borderId="0" applyAlignment="1" pivotButton="0" quotePrefix="0" xfId="0">
      <alignment horizontal="center" vertical="center" wrapText="1"/>
    </xf>
    <xf numFmtId="0" fontId="4" fillId="44" borderId="0" applyAlignment="1" pivotButton="0" quotePrefix="0" xfId="0">
      <alignment horizontal="center" vertical="center" wrapText="1"/>
    </xf>
    <xf numFmtId="0" fontId="17" fillId="44" borderId="51" applyAlignment="1" pivotButton="0" quotePrefix="0" xfId="0">
      <alignment horizontal="center" vertical="center" wrapText="1"/>
    </xf>
    <xf numFmtId="0" fontId="19" fillId="44" borderId="0" applyAlignment="1" pivotButton="0" quotePrefix="0" xfId="0">
      <alignment horizontal="center" vertical="center" wrapText="1"/>
    </xf>
    <xf numFmtId="0" fontId="19" fillId="44" borderId="0" applyAlignment="1" pivotButton="0" quotePrefix="0" xfId="0">
      <alignment horizontal="center" vertical="center" wrapText="1"/>
    </xf>
    <xf numFmtId="0" fontId="26" fillId="44" borderId="51" applyAlignment="1" pivotButton="0" quotePrefix="0" xfId="0">
      <alignment horizontal="center" vertical="center" wrapText="1"/>
    </xf>
    <xf numFmtId="0" fontId="17" fillId="44" borderId="0" applyAlignment="1" pivotButton="0" quotePrefix="0" xfId="0">
      <alignment horizontal="center" vertical="center" wrapText="1"/>
    </xf>
    <xf numFmtId="0" fontId="17" fillId="44" borderId="0" applyAlignment="1" pivotButton="0" quotePrefix="0" xfId="0">
      <alignment horizontal="center" vertical="center"/>
    </xf>
    <xf numFmtId="0" fontId="17" fillId="44" borderId="49" applyAlignment="1" pivotButton="0" quotePrefix="0" xfId="0">
      <alignment horizontal="center" vertical="center"/>
    </xf>
    <xf numFmtId="0" fontId="17" fillId="44" borderId="51" applyAlignment="1" pivotButton="0" quotePrefix="0" xfId="0">
      <alignment horizontal="center" vertical="center"/>
    </xf>
    <xf numFmtId="0" fontId="17" fillId="44" borderId="53" applyAlignment="1" pivotButton="0" quotePrefix="0" xfId="0">
      <alignment horizontal="center" vertical="center"/>
    </xf>
    <xf numFmtId="0" fontId="5" fillId="44" borderId="0" pivotButton="0" quotePrefix="0" xfId="0"/>
    <xf numFmtId="0" fontId="26" fillId="44" borderId="0" applyAlignment="1" pivotButton="0" quotePrefix="0" xfId="0">
      <alignment horizontal="center" vertical="center"/>
    </xf>
    <xf numFmtId="0" fontId="26" fillId="44" borderId="49" applyAlignment="1" pivotButton="0" quotePrefix="0" xfId="0">
      <alignment horizontal="center" vertical="center"/>
    </xf>
    <xf numFmtId="0" fontId="26" fillId="44" borderId="51" applyAlignment="1" pivotButton="0" quotePrefix="0" xfId="0">
      <alignment horizontal="center" vertical="center"/>
    </xf>
    <xf numFmtId="0" fontId="26" fillId="44" borderId="53" applyAlignment="1" pivotButton="0" quotePrefix="0" xfId="0">
      <alignment horizontal="center" vertical="center"/>
    </xf>
    <xf numFmtId="0" fontId="26" fillId="44" borderId="0" pivotButton="0" quotePrefix="0" xfId="0"/>
    <xf numFmtId="0" fontId="26" fillId="44" borderId="0" applyAlignment="1" pivotButton="0" quotePrefix="0" xfId="0">
      <alignment horizontal="center"/>
    </xf>
    <xf numFmtId="0" fontId="26" fillId="44" borderId="0" applyAlignment="1" pivotButton="0" quotePrefix="0" xfId="0">
      <alignment horizontal="center" vertical="center"/>
    </xf>
    <xf numFmtId="0" fontId="17" fillId="44" borderId="0" applyAlignment="1" pivotButton="0" quotePrefix="0" xfId="0">
      <alignment horizontal="center" vertical="center"/>
    </xf>
    <xf numFmtId="0" fontId="14" fillId="45" borderId="0" applyAlignment="1" pivotButton="0" quotePrefix="0" xfId="0">
      <alignment vertical="center" wrapText="1"/>
    </xf>
    <xf numFmtId="0" fontId="23" fillId="40" borderId="0" applyAlignment="1" pivotButton="0" quotePrefix="0" xfId="0">
      <alignment vertical="center"/>
    </xf>
    <xf numFmtId="0" fontId="1" fillId="40" borderId="0" applyAlignment="1" pivotButton="0" quotePrefix="0" xfId="0">
      <alignment vertical="center"/>
    </xf>
    <xf numFmtId="0" fontId="11" fillId="42" borderId="0" applyAlignment="1" pivotButton="0" quotePrefix="0" xfId="0">
      <alignment horizontal="center" vertical="center" wrapText="1"/>
    </xf>
    <xf numFmtId="0" fontId="3" fillId="42" borderId="0" applyAlignment="1" pivotButton="0" quotePrefix="0" xfId="0">
      <alignment horizontal="center" vertical="center" wrapText="1"/>
    </xf>
    <xf numFmtId="0" fontId="11" fillId="3" borderId="58" applyAlignment="1" pivotButton="0" quotePrefix="0" xfId="0">
      <alignment vertical="center" wrapText="1"/>
    </xf>
    <xf numFmtId="0" fontId="11" fillId="3" borderId="59" applyAlignment="1" pivotButton="0" quotePrefix="0" xfId="0">
      <alignment vertical="center" wrapText="1"/>
    </xf>
    <xf numFmtId="0" fontId="11" fillId="3" borderId="60" applyAlignment="1" pivotButton="0" quotePrefix="0" xfId="0">
      <alignment vertical="center" wrapText="1"/>
    </xf>
    <xf numFmtId="0" fontId="11" fillId="3" borderId="61" applyAlignment="1" pivotButton="0" quotePrefix="0" xfId="0">
      <alignment vertical="center" wrapText="1"/>
    </xf>
    <xf numFmtId="0" fontId="11" fillId="3" borderId="62" applyAlignment="1" pivotButton="0" quotePrefix="0" xfId="0">
      <alignment vertical="center" wrapText="1"/>
    </xf>
    <xf numFmtId="0" fontId="0" fillId="0" borderId="61" pivotButton="0" quotePrefix="0" xfId="0"/>
    <xf numFmtId="0" fontId="0" fillId="0" borderId="62" pivotButton="0" quotePrefix="0" xfId="0"/>
    <xf numFmtId="0" fontId="0" fillId="0" borderId="65" pivotButton="0" quotePrefix="0" xfId="0"/>
    <xf numFmtId="0" fontId="0" fillId="0" borderId="66" pivotButton="0" quotePrefix="0" xfId="0"/>
    <xf numFmtId="0" fontId="0" fillId="0" borderId="67" pivotButton="0" quotePrefix="0" xfId="0"/>
    <xf numFmtId="0" fontId="4" fillId="40" borderId="0" applyAlignment="1" pivotButton="0" quotePrefix="0" xfId="0">
      <alignment horizontal="left" vertical="center"/>
    </xf>
    <xf numFmtId="0" fontId="4" fillId="40" borderId="0" applyAlignment="1" pivotButton="0" quotePrefix="0" xfId="0">
      <alignment vertical="center"/>
    </xf>
    <xf numFmtId="0" fontId="4" fillId="4" borderId="44" applyAlignment="1" pivotButton="0" quotePrefix="0" xfId="0">
      <alignment horizontal="center" vertical="center" wrapText="1"/>
    </xf>
    <xf numFmtId="0" fontId="4" fillId="4" borderId="45" applyAlignment="1" pivotButton="0" quotePrefix="0" xfId="0">
      <alignment horizontal="center" vertical="center" wrapText="1"/>
    </xf>
    <xf numFmtId="0" fontId="4" fillId="4" borderId="47" applyAlignment="1" pivotButton="0" quotePrefix="0" xfId="0">
      <alignment horizontal="center" vertical="center" wrapText="1"/>
    </xf>
    <xf numFmtId="0" fontId="4" fillId="14" borderId="54" applyAlignment="1" pivotButton="0" quotePrefix="0" xfId="0">
      <alignment horizontal="center" wrapText="1"/>
    </xf>
    <xf numFmtId="0" fontId="4" fillId="14" borderId="55" applyAlignment="1" pivotButton="0" quotePrefix="0" xfId="0">
      <alignment horizontal="center" wrapText="1"/>
    </xf>
    <xf numFmtId="0" fontId="4" fillId="14" borderId="55" applyAlignment="1" pivotButton="0" quotePrefix="0" xfId="0">
      <alignment horizontal="center"/>
    </xf>
    <xf numFmtId="0" fontId="4" fillId="14" borderId="57" applyAlignment="1" pivotButton="0" quotePrefix="0" xfId="0">
      <alignment horizontal="center"/>
    </xf>
    <xf numFmtId="0" fontId="6" fillId="3" borderId="58" applyAlignment="1" pivotButton="0" quotePrefix="0" xfId="0">
      <alignment vertical="center" wrapText="1"/>
    </xf>
    <xf numFmtId="0" fontId="6" fillId="3" borderId="59" applyAlignment="1" pivotButton="0" quotePrefix="0" xfId="0">
      <alignment vertical="center" wrapText="1"/>
    </xf>
    <xf numFmtId="0" fontId="6" fillId="3" borderId="60" applyAlignment="1" pivotButton="0" quotePrefix="0" xfId="0">
      <alignment vertical="center" wrapText="1"/>
    </xf>
    <xf numFmtId="0" fontId="6" fillId="3" borderId="61" applyAlignment="1" pivotButton="0" quotePrefix="0" xfId="0">
      <alignment vertical="center" wrapText="1"/>
    </xf>
    <xf numFmtId="0" fontId="6" fillId="3" borderId="0" applyAlignment="1" pivotButton="0" quotePrefix="0" xfId="0">
      <alignment vertical="center" wrapText="1"/>
    </xf>
    <xf numFmtId="0" fontId="6" fillId="3" borderId="62" applyAlignment="1" pivotButton="0" quotePrefix="0" xfId="0">
      <alignment vertical="center" wrapText="1"/>
    </xf>
    <xf numFmtId="0" fontId="5" fillId="0" borderId="61" pivotButton="0" quotePrefix="0" xfId="0"/>
    <xf numFmtId="0" fontId="5" fillId="0" borderId="62" pivotButton="0" quotePrefix="0" xfId="0"/>
    <xf numFmtId="0" fontId="5" fillId="0" borderId="65" pivotButton="0" quotePrefix="0" xfId="0"/>
    <xf numFmtId="0" fontId="5" fillId="0" borderId="66" pivotButton="0" quotePrefix="0" xfId="0"/>
    <xf numFmtId="0" fontId="5" fillId="0" borderId="67" pivotButton="0" quotePrefix="0" xfId="0"/>
    <xf numFmtId="0" fontId="19" fillId="40" borderId="0" applyAlignment="1" pivotButton="0" quotePrefix="0" xfId="0">
      <alignment vertical="center"/>
    </xf>
    <xf numFmtId="0" fontId="5" fillId="4" borderId="0" applyAlignment="1" pivotButton="0" quotePrefix="0" xfId="0">
      <alignment wrapText="1"/>
    </xf>
    <xf numFmtId="0" fontId="5" fillId="4" borderId="0" applyAlignment="1" pivotButton="0" quotePrefix="0" xfId="0">
      <alignment wrapText="1"/>
    </xf>
    <xf numFmtId="0" fontId="4" fillId="4" borderId="0" applyAlignment="1" pivotButton="0" quotePrefix="0" xfId="0">
      <alignment wrapText="1"/>
    </xf>
    <xf numFmtId="0" fontId="4" fillId="4" borderId="0" applyAlignment="1" pivotButton="0" quotePrefix="0" xfId="0">
      <alignment horizontal="center" wrapText="1"/>
    </xf>
    <xf numFmtId="0" fontId="4" fillId="4" borderId="0" applyAlignment="1" pivotButton="0" quotePrefix="0" xfId="0">
      <alignment horizontal="center" vertical="center" wrapText="1"/>
    </xf>
    <xf numFmtId="3" fontId="17" fillId="14" borderId="0" applyAlignment="1" pivotButton="0" quotePrefix="0" xfId="0">
      <alignment horizontal="center" vertical="center" wrapText="1"/>
    </xf>
    <xf numFmtId="3" fontId="17" fillId="14" borderId="0" applyAlignment="1" pivotButton="0" quotePrefix="0" xfId="0">
      <alignment horizontal="center" vertical="center" wrapText="1"/>
    </xf>
    <xf numFmtId="3" fontId="4" fillId="14" borderId="0" applyAlignment="1" pivotButton="0" quotePrefix="0" xfId="0">
      <alignment horizontal="center" vertical="center" wrapText="1"/>
    </xf>
    <xf numFmtId="3" fontId="4" fillId="14" borderId="0" applyAlignment="1" pivotButton="0" quotePrefix="0" xfId="0">
      <alignment horizontal="center" vertical="center" wrapText="1"/>
    </xf>
    <xf numFmtId="0" fontId="17" fillId="14" borderId="0" applyAlignment="1" pivotButton="0" quotePrefix="0" xfId="0">
      <alignment horizontal="center" vertical="center" wrapText="1"/>
    </xf>
    <xf numFmtId="0" fontId="17" fillId="14" borderId="0" applyAlignment="1" pivotButton="0" quotePrefix="0" xfId="0">
      <alignment horizontal="center" vertical="center" wrapText="1"/>
    </xf>
    <xf numFmtId="0" fontId="4" fillId="14" borderId="0" applyAlignment="1" pivotButton="0" quotePrefix="0" xfId="0">
      <alignment horizontal="center" vertical="center" wrapText="1"/>
    </xf>
    <xf numFmtId="0" fontId="17" fillId="14" borderId="0" applyAlignment="1" pivotButton="0" quotePrefix="0" xfId="0">
      <alignment horizontal="center" vertical="center"/>
    </xf>
    <xf numFmtId="0" fontId="17" fillId="14" borderId="0" applyAlignment="1" pivotButton="0" quotePrefix="0" xfId="0">
      <alignment horizontal="center" vertical="center"/>
    </xf>
    <xf numFmtId="0" fontId="4" fillId="14" borderId="0" applyAlignment="1" pivotButton="0" quotePrefix="0" xfId="0">
      <alignment horizontal="center" vertical="center"/>
    </xf>
    <xf numFmtId="0" fontId="4" fillId="14" borderId="0" applyAlignment="1" pivotButton="0" quotePrefix="0" xfId="0">
      <alignment horizontal="center" vertical="center"/>
    </xf>
    <xf numFmtId="0" fontId="23" fillId="2" borderId="0" applyAlignment="1" pivotButton="0" quotePrefix="0" xfId="0">
      <alignment vertical="center"/>
    </xf>
    <xf numFmtId="0" fontId="11" fillId="4" borderId="0" applyAlignment="1" pivotButton="0" quotePrefix="0" xfId="0">
      <alignment horizontal="center" vertical="center" wrapText="1"/>
    </xf>
    <xf numFmtId="0" fontId="24" fillId="46" borderId="0" applyAlignment="1" pivotButton="0" quotePrefix="0" xfId="0">
      <alignment horizontal="left" vertical="center"/>
    </xf>
    <xf numFmtId="0" fontId="24" fillId="46" borderId="0" applyAlignment="1" pivotButton="0" quotePrefix="0" xfId="0">
      <alignment vertical="center"/>
    </xf>
    <xf numFmtId="0" fontId="28" fillId="46" borderId="0" applyAlignment="1" pivotButton="0" quotePrefix="0" xfId="0">
      <alignment horizontal="left" vertical="center"/>
    </xf>
    <xf numFmtId="0" fontId="28" fillId="46" borderId="0" applyAlignment="1" pivotButton="0" quotePrefix="0" xfId="0">
      <alignment vertical="center"/>
    </xf>
    <xf numFmtId="0" fontId="6" fillId="47" borderId="0" applyAlignment="1" pivotButton="0" quotePrefix="0" xfId="0">
      <alignment vertical="center" wrapText="1"/>
    </xf>
    <xf numFmtId="0" fontId="29" fillId="47" borderId="0" applyAlignment="1" pivotButton="0" quotePrefix="0" xfId="0">
      <alignment vertical="center" wrapText="1"/>
    </xf>
    <xf numFmtId="0" fontId="29" fillId="47" borderId="0" applyAlignment="1" pivotButton="0" quotePrefix="0" xfId="0">
      <alignment horizontal="left" vertical="center" wrapText="1"/>
    </xf>
    <xf numFmtId="0" fontId="4" fillId="48" borderId="0" applyAlignment="1" pivotButton="0" quotePrefix="0" xfId="0">
      <alignment horizontal="center" vertical="center" wrapText="1"/>
    </xf>
    <xf numFmtId="0" fontId="4" fillId="48" borderId="58" applyAlignment="1" pivotButton="0" quotePrefix="0" xfId="0">
      <alignment horizontal="center" vertical="center" wrapText="1"/>
    </xf>
    <xf numFmtId="0" fontId="4" fillId="48" borderId="59" applyAlignment="1" pivotButton="0" quotePrefix="0" xfId="0">
      <alignment horizontal="center" vertical="center" wrapText="1"/>
    </xf>
    <xf numFmtId="0" fontId="4" fillId="48" borderId="60" applyAlignment="1" pivotButton="0" quotePrefix="0" xfId="0">
      <alignment horizontal="center" vertical="center" wrapText="1"/>
    </xf>
    <xf numFmtId="0" fontId="21" fillId="48" borderId="0" applyAlignment="1" pivotButton="0" quotePrefix="0" xfId="0">
      <alignment horizontal="center" vertical="center" wrapText="1"/>
    </xf>
    <xf numFmtId="0" fontId="21" fillId="48" borderId="58" applyAlignment="1" pivotButton="0" quotePrefix="0" xfId="0">
      <alignment horizontal="center" vertical="center" wrapText="1"/>
    </xf>
    <xf numFmtId="0" fontId="21" fillId="48" borderId="59" applyAlignment="1" pivotButton="0" quotePrefix="0" xfId="0">
      <alignment horizontal="center" vertical="center" wrapText="1"/>
    </xf>
    <xf numFmtId="0" fontId="21" fillId="48" borderId="60" applyAlignment="1" pivotButton="0" quotePrefix="0" xfId="0">
      <alignment horizontal="center" vertical="center" wrapText="1"/>
    </xf>
    <xf numFmtId="0" fontId="5" fillId="49" borderId="61" applyAlignment="1" pivotButton="0" quotePrefix="0" xfId="0">
      <alignment wrapText="1"/>
    </xf>
    <xf numFmtId="0" fontId="5" fillId="49" borderId="0" applyAlignment="1" pivotButton="0" quotePrefix="0" xfId="0">
      <alignment wrapText="1"/>
    </xf>
    <xf numFmtId="0" fontId="5" fillId="49" borderId="62" applyAlignment="1" pivotButton="0" quotePrefix="0" xfId="0">
      <alignment wrapText="1"/>
    </xf>
    <xf numFmtId="0" fontId="4" fillId="49" borderId="61" applyAlignment="1" pivotButton="0" quotePrefix="0" xfId="0">
      <alignment wrapText="1"/>
    </xf>
    <xf numFmtId="0" fontId="4" fillId="49" borderId="0" applyAlignment="1" pivotButton="0" quotePrefix="0" xfId="0">
      <alignment wrapText="1"/>
    </xf>
    <xf numFmtId="0" fontId="4" fillId="49" borderId="62" applyAlignment="1" pivotButton="0" quotePrefix="0" xfId="0">
      <alignment wrapText="1"/>
    </xf>
    <xf numFmtId="0" fontId="4" fillId="49" borderId="61" applyAlignment="1" pivotButton="0" quotePrefix="0" xfId="0">
      <alignment horizontal="center" wrapText="1"/>
    </xf>
    <xf numFmtId="0" fontId="4" fillId="49" borderId="0" applyAlignment="1" pivotButton="0" quotePrefix="0" xfId="0">
      <alignment horizontal="center" wrapText="1"/>
    </xf>
    <xf numFmtId="0" fontId="4" fillId="49" borderId="62" applyAlignment="1" pivotButton="0" quotePrefix="0" xfId="0">
      <alignment horizontal="center" wrapText="1"/>
    </xf>
    <xf numFmtId="0" fontId="4" fillId="49" borderId="61" applyAlignment="1" pivotButton="0" quotePrefix="0" xfId="0">
      <alignment horizontal="center" vertical="center" wrapText="1"/>
    </xf>
    <xf numFmtId="0" fontId="4" fillId="49" borderId="0" applyAlignment="1" pivotButton="0" quotePrefix="0" xfId="0">
      <alignment horizontal="center" vertical="center" wrapText="1"/>
    </xf>
    <xf numFmtId="0" fontId="4" fillId="49" borderId="62" applyAlignment="1" pivotButton="0" quotePrefix="0" xfId="0">
      <alignment horizontal="center" vertical="center" wrapText="1"/>
    </xf>
    <xf numFmtId="0" fontId="5" fillId="49" borderId="0" applyAlignment="1" pivotButton="0" quotePrefix="0" xfId="0">
      <alignment wrapText="1"/>
    </xf>
    <xf numFmtId="0" fontId="4" fillId="49" borderId="0" applyAlignment="1" pivotButton="0" quotePrefix="0" xfId="0">
      <alignment wrapText="1"/>
    </xf>
    <xf numFmtId="0" fontId="4" fillId="49" borderId="0" applyAlignment="1" pivotButton="0" quotePrefix="0" xfId="0">
      <alignment horizontal="center" wrapText="1"/>
    </xf>
    <xf numFmtId="0" fontId="4" fillId="49" borderId="0" applyAlignment="1" pivotButton="0" quotePrefix="0" xfId="0">
      <alignment horizontal="center" vertical="center" wrapText="1"/>
    </xf>
    <xf numFmtId="0" fontId="4" fillId="49" borderId="68" applyAlignment="1" pivotButton="0" quotePrefix="0" xfId="0">
      <alignment horizontal="center" vertical="center" wrapText="1"/>
    </xf>
    <xf numFmtId="0" fontId="4" fillId="49" borderId="69" applyAlignment="1" pivotButton="0" quotePrefix="0" xfId="0">
      <alignment horizontal="center" vertical="center" wrapText="1"/>
    </xf>
    <xf numFmtId="0" fontId="4" fillId="49" borderId="70" applyAlignment="1" pivotButton="0" quotePrefix="0" xfId="0">
      <alignment horizontal="center" vertical="center" wrapText="1"/>
    </xf>
    <xf numFmtId="0" fontId="5" fillId="0" borderId="71" applyAlignment="1" pivotButton="0" quotePrefix="0" xfId="0">
      <alignment wrapText="1"/>
    </xf>
    <xf numFmtId="0" fontId="5" fillId="0" borderId="72" applyAlignment="1" pivotButton="0" quotePrefix="0" xfId="0">
      <alignment wrapText="1"/>
    </xf>
    <xf numFmtId="0" fontId="5" fillId="0" borderId="73" applyAlignment="1" pivotButton="0" quotePrefix="0" xfId="0">
      <alignment wrapText="1"/>
    </xf>
    <xf numFmtId="0" fontId="5" fillId="0" borderId="74" applyAlignment="1" pivotButton="0" quotePrefix="0" xfId="0">
      <alignment wrapText="1"/>
    </xf>
    <xf numFmtId="0" fontId="4" fillId="16" borderId="75" applyAlignment="1" pivotButton="0" quotePrefix="0" xfId="0">
      <alignment horizontal="left" wrapText="1"/>
    </xf>
    <xf numFmtId="0" fontId="4" fillId="16" borderId="76" applyAlignment="1" pivotButton="0" quotePrefix="0" xfId="0">
      <alignment horizontal="left" wrapText="1"/>
    </xf>
    <xf numFmtId="0" fontId="4" fillId="16" borderId="77" applyAlignment="1" pivotButton="0" quotePrefix="0" xfId="0">
      <alignment horizontal="left" wrapText="1"/>
    </xf>
    <xf numFmtId="3" fontId="4" fillId="50" borderId="0" applyAlignment="1" pivotButton="0" quotePrefix="0" xfId="0">
      <alignment horizontal="center" vertical="center" wrapText="1"/>
    </xf>
    <xf numFmtId="3" fontId="4" fillId="50" borderId="0" applyAlignment="1" pivotButton="0" quotePrefix="0" xfId="0">
      <alignment horizontal="center" vertical="center" wrapText="1"/>
    </xf>
    <xf numFmtId="0" fontId="4" fillId="50" borderId="0" applyAlignment="1" pivotButton="0" quotePrefix="0" xfId="0">
      <alignment horizontal="center" vertical="center" wrapText="1"/>
    </xf>
    <xf numFmtId="0" fontId="4" fillId="50" borderId="0" applyAlignment="1" pivotButton="0" quotePrefix="0" xfId="0">
      <alignment horizontal="center" vertical="center" wrapText="1"/>
    </xf>
    <xf numFmtId="0" fontId="17" fillId="50" borderId="0" applyAlignment="1" pivotButton="0" quotePrefix="0" xfId="0">
      <alignment horizontal="center" vertical="center"/>
    </xf>
    <xf numFmtId="0" fontId="17" fillId="50" borderId="0" applyAlignment="1" pivotButton="0" quotePrefix="0" xfId="0">
      <alignment horizontal="center" vertical="center"/>
    </xf>
    <xf numFmtId="3" fontId="17" fillId="50" borderId="0" applyAlignment="1" pivotButton="0" quotePrefix="0" xfId="0">
      <alignment horizontal="center" vertical="center" wrapText="1"/>
    </xf>
    <xf numFmtId="0" fontId="17" fillId="50" borderId="0" applyAlignment="1" pivotButton="0" quotePrefix="0" xfId="0">
      <alignment horizontal="center" vertical="center" wrapText="1"/>
    </xf>
    <xf numFmtId="3" fontId="30" fillId="50" borderId="0" applyAlignment="1" pivotButton="0" quotePrefix="0" xfId="0">
      <alignment horizontal="center" vertical="center" wrapText="1"/>
    </xf>
    <xf numFmtId="3" fontId="30" fillId="50" borderId="0" applyAlignment="1" pivotButton="0" quotePrefix="0" xfId="0">
      <alignment horizontal="center" vertical="center" wrapText="1"/>
    </xf>
    <xf numFmtId="0" fontId="30" fillId="50" borderId="0" applyAlignment="1" pivotButton="0" quotePrefix="0" xfId="0">
      <alignment horizontal="center" vertical="center" wrapText="1"/>
    </xf>
    <xf numFmtId="0" fontId="30" fillId="50" borderId="0" applyAlignment="1" pivotButton="0" quotePrefix="0" xfId="0">
      <alignment horizontal="center" vertical="center" wrapText="1"/>
    </xf>
    <xf numFmtId="0" fontId="30" fillId="50" borderId="0" applyAlignment="1" pivotButton="0" quotePrefix="0" xfId="0">
      <alignment horizontal="center" vertical="center"/>
    </xf>
    <xf numFmtId="0" fontId="30" fillId="50" borderId="0" applyAlignment="1" pivotButton="0" quotePrefix="0" xfId="0">
      <alignment horizontal="center" vertical="center"/>
    </xf>
    <xf numFmtId="0" fontId="4" fillId="46" borderId="0" pivotButton="0" quotePrefix="0" xfId="0"/>
    <xf numFmtId="0" fontId="19" fillId="46" borderId="0" pivotButton="0" quotePrefix="0" xfId="0"/>
    <xf numFmtId="0" fontId="19" fillId="46" borderId="0" applyAlignment="1" pivotButton="0" quotePrefix="0" xfId="0">
      <alignment vertical="center"/>
    </xf>
    <xf numFmtId="0" fontId="4" fillId="51" borderId="0" applyAlignment="1" pivotButton="0" quotePrefix="0" xfId="0">
      <alignment horizontal="center" vertical="center" wrapText="1"/>
    </xf>
    <xf numFmtId="0" fontId="5" fillId="51" borderId="0" pivotButton="0" quotePrefix="0" xfId="0"/>
    <xf numFmtId="0" fontId="4" fillId="51" borderId="0" pivotButton="0" quotePrefix="0" xfId="0"/>
    <xf numFmtId="0" fontId="4" fillId="51" borderId="0" applyAlignment="1" pivotButton="0" quotePrefix="0" xfId="0">
      <alignment horizontal="center"/>
    </xf>
    <xf numFmtId="0" fontId="5" fillId="52" borderId="0" pivotButton="0" quotePrefix="0" xfId="0"/>
    <xf numFmtId="0" fontId="26" fillId="52" borderId="0" pivotButton="0" quotePrefix="0" xfId="0"/>
    <xf numFmtId="0" fontId="26" fillId="52" borderId="0" applyAlignment="1" pivotButton="0" quotePrefix="0" xfId="0">
      <alignment horizontal="center"/>
    </xf>
    <xf numFmtId="0" fontId="26" fillId="52" borderId="0" applyAlignment="1" pivotButton="0" quotePrefix="0" xfId="0">
      <alignment horizontal="center" vertical="center"/>
    </xf>
    <xf numFmtId="0" fontId="5" fillId="52" borderId="0" pivotButton="0" quotePrefix="0" xfId="0"/>
    <xf numFmtId="0" fontId="26" fillId="52" borderId="0" pivotButton="0" quotePrefix="0" xfId="0"/>
    <xf numFmtId="0" fontId="26" fillId="52" borderId="0" applyAlignment="1" pivotButton="0" quotePrefix="0" xfId="0">
      <alignment horizontal="center"/>
    </xf>
    <xf numFmtId="0" fontId="26" fillId="52" borderId="0" applyAlignment="1" pivotButton="0" quotePrefix="0" xfId="0">
      <alignment horizontal="center" vertical="center"/>
    </xf>
    <xf numFmtId="3" fontId="26" fillId="52" borderId="0" applyAlignment="1" pivotButton="0" quotePrefix="0" xfId="0">
      <alignment horizontal="center" vertical="center"/>
    </xf>
    <xf numFmtId="3" fontId="26" fillId="52" borderId="0" applyAlignment="1" pivotButton="0" quotePrefix="0" xfId="0">
      <alignment horizontal="center" vertical="center"/>
    </xf>
    <xf numFmtId="0" fontId="5" fillId="53" borderId="0" applyAlignment="1" pivotButton="0" quotePrefix="0" xfId="0">
      <alignment wrapText="1"/>
    </xf>
    <xf numFmtId="0" fontId="5" fillId="53" borderId="0" pivotButton="0" quotePrefix="0" xfId="0"/>
    <xf numFmtId="0" fontId="4" fillId="53" borderId="0" applyAlignment="1" pivotButton="0" quotePrefix="0" xfId="0">
      <alignment wrapText="1"/>
    </xf>
    <xf numFmtId="0" fontId="4" fillId="53" borderId="0" pivotButton="0" quotePrefix="0" xfId="0"/>
    <xf numFmtId="0" fontId="4" fillId="53" borderId="0" applyAlignment="1" pivotButton="0" quotePrefix="0" xfId="0">
      <alignment horizontal="center" wrapText="1"/>
    </xf>
    <xf numFmtId="0" fontId="4" fillId="53" borderId="0" applyAlignment="1" pivotButton="0" quotePrefix="0" xfId="0">
      <alignment horizontal="center" vertical="center" wrapText="1"/>
    </xf>
    <xf numFmtId="3" fontId="5" fillId="0" borderId="0" applyAlignment="1" pivotButton="0" quotePrefix="0" xfId="0">
      <alignment wrapText="1"/>
    </xf>
    <xf numFmtId="0" fontId="4" fillId="53" borderId="78" applyAlignment="1" pivotButton="0" quotePrefix="0" xfId="0">
      <alignment horizontal="center" vertical="center" wrapText="1"/>
    </xf>
    <xf numFmtId="0" fontId="4" fillId="53" borderId="79" applyAlignment="1" pivotButton="0" quotePrefix="0" xfId="0">
      <alignment horizontal="center" vertical="center" wrapText="1"/>
    </xf>
    <xf numFmtId="0" fontId="4" fillId="53" borderId="80" applyAlignment="1" pivotButton="0" quotePrefix="0" xfId="0">
      <alignment horizontal="center" vertical="center" wrapText="1"/>
    </xf>
    <xf numFmtId="0" fontId="5" fillId="0" borderId="81" applyAlignment="1" pivotButton="0" quotePrefix="0" xfId="0">
      <alignment wrapText="1"/>
    </xf>
    <xf numFmtId="3" fontId="5" fillId="0" borderId="0" applyAlignment="1" pivotButton="0" quotePrefix="0" xfId="0">
      <alignment wrapText="1"/>
    </xf>
    <xf numFmtId="3" fontId="5" fillId="0" borderId="0" pivotButton="0" quotePrefix="0" xfId="0"/>
    <xf numFmtId="0" fontId="5" fillId="0" borderId="82" pivotButton="0" quotePrefix="0" xfId="0"/>
    <xf numFmtId="0" fontId="5" fillId="0" borderId="81" pivotButton="0" quotePrefix="0" xfId="0"/>
    <xf numFmtId="0" fontId="5" fillId="0" borderId="83" pivotButton="0" quotePrefix="0" xfId="0"/>
    <xf numFmtId="3" fontId="5" fillId="0" borderId="84" pivotButton="0" quotePrefix="0" xfId="0"/>
    <xf numFmtId="0" fontId="5" fillId="0" borderId="85" pivotButton="0" quotePrefix="0" xfId="0"/>
    <xf numFmtId="0" fontId="5" fillId="48" borderId="0" pivotButton="0" quotePrefix="0" xfId="0"/>
    <xf numFmtId="0" fontId="14" fillId="48" borderId="0" pivotButton="0" quotePrefix="0" xfId="0"/>
    <xf numFmtId="0" fontId="14" fillId="48" borderId="0" applyAlignment="1" pivotButton="0" quotePrefix="0" xfId="0">
      <alignment wrapText="1"/>
    </xf>
    <xf numFmtId="0" fontId="14" fillId="48" borderId="0" applyAlignment="1" pivotButton="0" quotePrefix="0" xfId="0">
      <alignment vertical="center" wrapText="1"/>
    </xf>
    <xf numFmtId="0" fontId="4" fillId="46" borderId="0" applyAlignment="1" pivotButton="0" quotePrefix="0" xfId="0">
      <alignment horizontal="left" vertical="center"/>
    </xf>
    <xf numFmtId="0" fontId="4" fillId="46" borderId="0" applyAlignment="1" pivotButton="0" quotePrefix="0" xfId="0">
      <alignment vertical="center"/>
    </xf>
    <xf numFmtId="0" fontId="6" fillId="47" borderId="0" applyAlignment="1" pivotButton="0" quotePrefix="0" xfId="0">
      <alignment horizontal="left" vertical="center" wrapText="1"/>
    </xf>
    <xf numFmtId="0" fontId="14" fillId="48" borderId="0" applyAlignment="1" pivotButton="0" quotePrefix="0" xfId="0">
      <alignment horizontal="center" vertical="center" wrapText="1"/>
    </xf>
    <xf numFmtId="0" fontId="14" fillId="48" borderId="58" applyAlignment="1" pivotButton="0" quotePrefix="0" xfId="0">
      <alignment horizontal="center" vertical="center" wrapText="1"/>
    </xf>
    <xf numFmtId="0" fontId="14" fillId="48" borderId="59" applyAlignment="1" pivotButton="0" quotePrefix="0" xfId="0">
      <alignment horizontal="center" vertical="center" wrapText="1"/>
    </xf>
    <xf numFmtId="0" fontId="14" fillId="48" borderId="60" applyAlignment="1" pivotButton="0" quotePrefix="0" xfId="0">
      <alignment horizontal="center" vertical="center" wrapText="1"/>
    </xf>
    <xf numFmtId="3" fontId="16" fillId="50" borderId="0" applyAlignment="1" pivotButton="0" quotePrefix="0" xfId="0">
      <alignment horizontal="center" vertical="center" wrapText="1"/>
    </xf>
    <xf numFmtId="3" fontId="16" fillId="50" borderId="0" applyAlignment="1" pivotButton="0" quotePrefix="0" xfId="0">
      <alignment horizontal="center" vertical="center" wrapText="1"/>
    </xf>
    <xf numFmtId="0" fontId="16" fillId="50" borderId="0" applyAlignment="1" pivotButton="0" quotePrefix="0" xfId="0">
      <alignment horizontal="center" vertical="center" wrapText="1"/>
    </xf>
    <xf numFmtId="0" fontId="16" fillId="50" borderId="0" applyAlignment="1" pivotButton="0" quotePrefix="0" xfId="0">
      <alignment horizontal="center" vertical="center" wrapText="1"/>
    </xf>
    <xf numFmtId="3" fontId="17" fillId="52" borderId="0" applyAlignment="1" pivotButton="0" quotePrefix="0" xfId="0">
      <alignment horizontal="center" vertical="center"/>
    </xf>
    <xf numFmtId="3" fontId="17" fillId="52" borderId="0" applyAlignment="1" pivotButton="0" quotePrefix="0" xfId="0">
      <alignment horizontal="center" vertical="center"/>
    </xf>
    <xf numFmtId="0" fontId="17" fillId="52" borderId="0" applyAlignment="1" pivotButton="0" quotePrefix="0" xfId="0">
      <alignment horizontal="center" vertical="center"/>
    </xf>
    <xf numFmtId="0" fontId="28" fillId="2" borderId="0" applyAlignment="1" pivotButton="0" quotePrefix="0" xfId="0">
      <alignment horizontal="left" vertical="center"/>
    </xf>
    <xf numFmtId="0" fontId="28" fillId="2" borderId="0" applyAlignment="1" pivotButton="0" quotePrefix="0" xfId="0">
      <alignment vertical="center"/>
    </xf>
    <xf numFmtId="0" fontId="29" fillId="11" borderId="0" applyAlignment="1" pivotButton="0" quotePrefix="0" xfId="0">
      <alignment vertical="center" wrapText="1"/>
    </xf>
    <xf numFmtId="0" fontId="29" fillId="11" borderId="0" applyAlignment="1" pivotButton="0" quotePrefix="0" xfId="0">
      <alignment horizontal="left" vertical="center" wrapText="1"/>
    </xf>
    <xf numFmtId="0" fontId="4" fillId="6" borderId="0" applyAlignment="1" pivotButton="0" quotePrefix="0" xfId="0">
      <alignment horizontal="center" vertical="center" wrapText="1"/>
    </xf>
    <xf numFmtId="0" fontId="21" fillId="6" borderId="0" applyAlignment="1" pivotButton="0" quotePrefix="0" xfId="0">
      <alignment horizontal="center" vertical="center" wrapText="1"/>
    </xf>
    <xf numFmtId="3" fontId="4" fillId="9" borderId="0" applyAlignment="1" pivotButton="0" quotePrefix="0" xfId="0">
      <alignment horizontal="center" vertical="center" wrapText="1"/>
    </xf>
    <xf numFmtId="3" fontId="4" fillId="9" borderId="0" applyAlignment="1" pivotButton="0" quotePrefix="0" xfId="0">
      <alignment horizontal="center" vertical="center" wrapText="1"/>
    </xf>
    <xf numFmtId="0" fontId="4" fillId="9" borderId="0" applyAlignment="1" pivotButton="0" quotePrefix="0" xfId="0">
      <alignment horizontal="center" vertical="center" wrapText="1"/>
    </xf>
    <xf numFmtId="0" fontId="4" fillId="9" borderId="0" applyAlignment="1" pivotButton="0" quotePrefix="0" xfId="0">
      <alignment horizontal="center" vertical="center" wrapText="1"/>
    </xf>
    <xf numFmtId="0" fontId="17" fillId="9" borderId="0" applyAlignment="1" pivotButton="0" quotePrefix="0" xfId="0">
      <alignment horizontal="center" vertical="center"/>
    </xf>
    <xf numFmtId="0" fontId="17" fillId="9" borderId="0" applyAlignment="1" pivotButton="0" quotePrefix="0" xfId="0">
      <alignment horizontal="center" vertical="center"/>
    </xf>
    <xf numFmtId="3" fontId="17" fillId="9" borderId="0" applyAlignment="1" pivotButton="0" quotePrefix="0" xfId="0">
      <alignment horizontal="center" vertical="center" wrapText="1"/>
    </xf>
    <xf numFmtId="0" fontId="17" fillId="9" borderId="0" applyAlignment="1" pivotButton="0" quotePrefix="0" xfId="0">
      <alignment horizontal="center" vertical="center" wrapText="1"/>
    </xf>
    <xf numFmtId="3" fontId="30" fillId="9" borderId="0" applyAlignment="1" pivotButton="0" quotePrefix="0" xfId="0">
      <alignment horizontal="center" vertical="center" wrapText="1"/>
    </xf>
    <xf numFmtId="3" fontId="30" fillId="9" borderId="0" applyAlignment="1" pivotButton="0" quotePrefix="0" xfId="0">
      <alignment horizontal="center" vertical="center" wrapText="1"/>
    </xf>
    <xf numFmtId="0" fontId="30" fillId="9" borderId="0" applyAlignment="1" pivotButton="0" quotePrefix="0" xfId="0">
      <alignment horizontal="center" vertical="center" wrapText="1"/>
    </xf>
    <xf numFmtId="0" fontId="30" fillId="9" borderId="0" applyAlignment="1" pivotButton="0" quotePrefix="0" xfId="0">
      <alignment horizontal="center" vertical="center" wrapText="1"/>
    </xf>
    <xf numFmtId="0" fontId="30" fillId="9" borderId="0" applyAlignment="1" pivotButton="0" quotePrefix="0" xfId="0">
      <alignment horizontal="center" vertical="center"/>
    </xf>
    <xf numFmtId="0" fontId="30" fillId="9" borderId="0" applyAlignment="1" pivotButton="0" quotePrefix="0" xfId="0">
      <alignment horizontal="center" vertical="center"/>
    </xf>
    <xf numFmtId="0" fontId="5" fillId="12" borderId="0" pivotButton="0" quotePrefix="0" xfId="0"/>
    <xf numFmtId="0" fontId="26" fillId="12" borderId="0" pivotButton="0" quotePrefix="0" xfId="0"/>
    <xf numFmtId="0" fontId="26" fillId="12" borderId="0" applyAlignment="1" pivotButton="0" quotePrefix="0" xfId="0">
      <alignment horizontal="center"/>
    </xf>
    <xf numFmtId="3" fontId="26" fillId="12" borderId="0" applyAlignment="1" pivotButton="0" quotePrefix="0" xfId="0">
      <alignment horizontal="center" vertical="center"/>
    </xf>
    <xf numFmtId="3" fontId="26" fillId="12" borderId="0" applyAlignment="1" pivotButton="0" quotePrefix="0" xfId="0">
      <alignment horizontal="center" vertical="center"/>
    </xf>
    <xf numFmtId="0" fontId="4" fillId="16" borderId="0" applyAlignment="1" pivotButton="0" quotePrefix="0" xfId="0">
      <alignment horizontal="center" wrapText="1"/>
    </xf>
    <xf numFmtId="0" fontId="6" fillId="11" borderId="0" applyAlignment="1" pivotButton="0" quotePrefix="0" xfId="0">
      <alignment horizontal="left" vertical="center" wrapText="1"/>
    </xf>
    <xf numFmtId="0" fontId="14" fillId="6" borderId="0" applyAlignment="1" pivotButton="0" quotePrefix="0" xfId="0">
      <alignment horizontal="center" vertical="center" wrapText="1"/>
    </xf>
    <xf numFmtId="3" fontId="16" fillId="9" borderId="0" applyAlignment="1" pivotButton="0" quotePrefix="0" xfId="0">
      <alignment horizontal="center" vertical="center" wrapText="1"/>
    </xf>
    <xf numFmtId="3" fontId="16" fillId="9" borderId="0" applyAlignment="1" pivotButton="0" quotePrefix="0" xfId="0">
      <alignment horizontal="center" vertical="center" wrapText="1"/>
    </xf>
    <xf numFmtId="0" fontId="16" fillId="9" borderId="0" applyAlignment="1" pivotButton="0" quotePrefix="0" xfId="0">
      <alignment horizontal="center" vertical="center" wrapText="1"/>
    </xf>
    <xf numFmtId="0" fontId="16" fillId="9" borderId="0" applyAlignment="1" pivotButton="0" quotePrefix="0" xfId="0">
      <alignment horizontal="center" vertical="center" wrapText="1"/>
    </xf>
    <xf numFmtId="3" fontId="17" fillId="12" borderId="0" applyAlignment="1" pivotButton="0" quotePrefix="0" xfId="0">
      <alignment horizontal="center" vertical="center"/>
    </xf>
    <xf numFmtId="0" fontId="19" fillId="54" borderId="0" applyAlignment="1" pivotButton="0" quotePrefix="0" xfId="0">
      <alignment vertical="center"/>
    </xf>
    <xf numFmtId="0" fontId="4" fillId="55" borderId="0" applyAlignment="1" pivotButton="0" quotePrefix="0" xfId="0">
      <alignment horizontal="center" vertical="center" wrapText="1"/>
    </xf>
    <xf numFmtId="0" fontId="4" fillId="55" borderId="0" applyAlignment="1" pivotButton="0" quotePrefix="0" xfId="0">
      <alignment horizontal="center"/>
    </xf>
    <xf numFmtId="3" fontId="17" fillId="56" borderId="0" applyAlignment="1" pivotButton="0" quotePrefix="0" xfId="0">
      <alignment horizontal="center" vertical="center"/>
    </xf>
    <xf numFmtId="3" fontId="26" fillId="56" borderId="0" applyAlignment="1" pivotButton="0" quotePrefix="0" xfId="0">
      <alignment horizontal="center" vertical="center"/>
    </xf>
    <xf numFmtId="3" fontId="17" fillId="56" borderId="0" applyAlignment="1" pivotButton="0" quotePrefix="0" xfId="0">
      <alignment horizontal="center" vertical="center"/>
    </xf>
    <xf numFmtId="3" fontId="26" fillId="56" borderId="0" applyAlignment="1" pivotButton="0" quotePrefix="0" xfId="0">
      <alignment horizontal="center" vertical="center"/>
    </xf>
    <xf numFmtId="0" fontId="17" fillId="56" borderId="0" applyAlignment="1" pivotButton="0" quotePrefix="0" xfId="0">
      <alignment horizontal="center" vertical="center"/>
    </xf>
    <xf numFmtId="0" fontId="26" fillId="56" borderId="0" applyAlignment="1" pivotButton="0" quotePrefix="0" xfId="0">
      <alignment horizontal="center" vertical="center"/>
    </xf>
    <xf numFmtId="0" fontId="4" fillId="57" borderId="68" applyAlignment="1" pivotButton="0" quotePrefix="0" xfId="0">
      <alignment horizontal="center" vertical="center" wrapText="1"/>
    </xf>
    <xf numFmtId="0" fontId="4" fillId="57" borderId="69" applyAlignment="1" pivotButton="0" quotePrefix="0" xfId="0">
      <alignment horizontal="center" vertical="center" wrapText="1"/>
    </xf>
    <xf numFmtId="0" fontId="4" fillId="57" borderId="70" applyAlignment="1" pivotButton="0" quotePrefix="0" xfId="0">
      <alignment horizontal="center" vertical="center" wrapText="1"/>
    </xf>
    <xf numFmtId="0" fontId="4" fillId="57" borderId="0" applyAlignment="1" pivotButton="0" quotePrefix="0" xfId="0">
      <alignment horizontal="center" vertical="center" wrapText="1"/>
    </xf>
    <xf numFmtId="3" fontId="5" fillId="0" borderId="76" pivotButton="0" quotePrefix="0" xfId="0"/>
    <xf numFmtId="0" fontId="4" fillId="57" borderId="86" applyAlignment="1" pivotButton="0" quotePrefix="0" xfId="0">
      <alignment horizontal="center" vertical="center" wrapText="1"/>
    </xf>
    <xf numFmtId="0" fontId="4" fillId="57" borderId="87" applyAlignment="1" pivotButton="0" quotePrefix="0" xfId="0">
      <alignment horizontal="center" vertical="center" wrapText="1"/>
    </xf>
    <xf numFmtId="0" fontId="4" fillId="57" borderId="88" applyAlignment="1" pivotButton="0" quotePrefix="0" xfId="0">
      <alignment horizontal="center" vertical="center" wrapText="1"/>
    </xf>
    <xf numFmtId="0" fontId="5" fillId="0" borderId="89" applyAlignment="1" pivotButton="0" quotePrefix="0" xfId="0">
      <alignment wrapText="1"/>
    </xf>
    <xf numFmtId="0" fontId="5" fillId="0" borderId="90" pivotButton="0" quotePrefix="0" xfId="0"/>
    <xf numFmtId="0" fontId="5" fillId="0" borderId="89" pivotButton="0" quotePrefix="0" xfId="0"/>
    <xf numFmtId="0" fontId="5" fillId="0" borderId="91" pivotButton="0" quotePrefix="0" xfId="0"/>
    <xf numFmtId="3" fontId="5" fillId="0" borderId="92" pivotButton="0" quotePrefix="0" xfId="0"/>
    <xf numFmtId="0" fontId="5" fillId="0" borderId="93" pivotButton="0" quotePrefix="0" xfId="0"/>
    <xf numFmtId="0" fontId="14" fillId="58" borderId="0" applyAlignment="1" pivotButton="0" quotePrefix="0" xfId="0">
      <alignment vertical="center" wrapText="1"/>
    </xf>
    <xf numFmtId="3" fontId="16" fillId="59" borderId="0" applyAlignment="1" pivotButton="0" quotePrefix="0" xfId="0">
      <alignment horizontal="center" vertical="center" wrapText="1"/>
    </xf>
    <xf numFmtId="3" fontId="16" fillId="59" borderId="0" applyAlignment="1" pivotButton="0" quotePrefix="0" xfId="0">
      <alignment horizontal="center" vertical="center" wrapText="1"/>
    </xf>
    <xf numFmtId="0" fontId="16" fillId="59" borderId="0" applyAlignment="1" pivotButton="0" quotePrefix="0" xfId="0">
      <alignment horizontal="center" vertical="center" wrapText="1"/>
    </xf>
    <xf numFmtId="0" fontId="16" fillId="59" borderId="0" applyAlignment="1" pivotButton="0" quotePrefix="0" xfId="0">
      <alignment horizontal="center" vertical="center" wrapText="1"/>
    </xf>
    <xf numFmtId="3" fontId="30" fillId="59" borderId="0" applyAlignment="1" pivotButton="0" quotePrefix="0" xfId="0">
      <alignment horizontal="center" vertical="center" wrapText="1"/>
    </xf>
    <xf numFmtId="3" fontId="30" fillId="59" borderId="0" applyAlignment="1" pivotButton="0" quotePrefix="0" xfId="0">
      <alignment horizontal="center" vertical="center" wrapText="1"/>
    </xf>
    <xf numFmtId="0" fontId="30" fillId="59" borderId="0" applyAlignment="1" pivotButton="0" quotePrefix="0" xfId="0">
      <alignment horizontal="center" vertical="center" wrapText="1"/>
    </xf>
    <xf numFmtId="0" fontId="30" fillId="59" borderId="0" applyAlignment="1" pivotButton="0" quotePrefix="0" xfId="0">
      <alignment horizontal="center" vertical="center" wrapText="1"/>
    </xf>
    <xf numFmtId="0" fontId="4" fillId="4" borderId="94" applyAlignment="1" pivotButton="0" quotePrefix="0" xfId="0">
      <alignment horizontal="center" vertical="center" wrapText="1"/>
    </xf>
    <xf numFmtId="0" fontId="4" fillId="4" borderId="95" applyAlignment="1" pivotButton="0" quotePrefix="0" xfId="0">
      <alignment horizontal="center" vertical="center" wrapText="1"/>
    </xf>
    <xf numFmtId="0" fontId="4" fillId="4" borderId="96" applyAlignment="1" pivotButton="0" quotePrefix="0" xfId="0">
      <alignment horizontal="center" vertical="center" wrapText="1"/>
    </xf>
    <xf numFmtId="0" fontId="5" fillId="0" borderId="97" applyAlignment="1" pivotButton="0" quotePrefix="0" xfId="0">
      <alignment wrapText="1"/>
    </xf>
    <xf numFmtId="0" fontId="5" fillId="0" borderId="98" applyAlignment="1" pivotButton="0" quotePrefix="0" xfId="0">
      <alignment wrapText="1"/>
    </xf>
    <xf numFmtId="0" fontId="4" fillId="16" borderId="99" applyAlignment="1" pivotButton="0" quotePrefix="0" xfId="0">
      <alignment horizontal="left" wrapText="1"/>
    </xf>
    <xf numFmtId="0" fontId="4" fillId="16" borderId="100" applyAlignment="1" pivotButton="0" quotePrefix="0" xfId="0">
      <alignment horizontal="left" wrapText="1"/>
    </xf>
    <xf numFmtId="0" fontId="4" fillId="16" borderId="101" applyAlignment="1" pivotButton="0" quotePrefix="0" xfId="0">
      <alignment horizontal="left" wrapText="1"/>
    </xf>
    <xf numFmtId="0" fontId="4" fillId="60" borderId="94" applyAlignment="1" pivotButton="0" quotePrefix="0" xfId="0">
      <alignment horizontal="center" vertical="center" wrapText="1"/>
    </xf>
    <xf numFmtId="0" fontId="4" fillId="60" borderId="95" applyAlignment="1" pivotButton="0" quotePrefix="0" xfId="0">
      <alignment horizontal="center" vertical="center" wrapText="1"/>
    </xf>
    <xf numFmtId="0" fontId="4" fillId="60" borderId="96" applyAlignment="1" pivotButton="0" quotePrefix="0" xfId="0">
      <alignment horizontal="center" vertical="center" wrapText="1"/>
    </xf>
    <xf numFmtId="0" fontId="14" fillId="61" borderId="0" applyAlignment="1" pivotButton="0" quotePrefix="0" xfId="0">
      <alignment horizontal="center" vertical="center" wrapText="1"/>
    </xf>
    <xf numFmtId="0" fontId="5" fillId="61" borderId="0" applyAlignment="1" pivotButton="0" quotePrefix="0" xfId="0">
      <alignment wrapText="1"/>
    </xf>
    <xf numFmtId="0" fontId="5" fillId="61" borderId="0" applyAlignment="1" pivotButton="0" quotePrefix="0" xfId="0">
      <alignment wrapText="1"/>
    </xf>
    <xf numFmtId="0" fontId="21" fillId="61" borderId="0" applyAlignment="1" pivotButton="0" quotePrefix="0" xfId="0">
      <alignment horizontal="center" vertical="center" wrapText="1"/>
    </xf>
    <xf numFmtId="0" fontId="21" fillId="61" borderId="0" applyAlignment="1" pivotButton="0" quotePrefix="0" xfId="0">
      <alignment wrapText="1"/>
    </xf>
    <xf numFmtId="0" fontId="21" fillId="61" borderId="0" applyAlignment="1" pivotButton="0" quotePrefix="0" xfId="0">
      <alignment wrapText="1"/>
    </xf>
    <xf numFmtId="0" fontId="21" fillId="61" borderId="0" applyAlignment="1" pivotButton="0" quotePrefix="0" xfId="0">
      <alignment vertical="center" wrapText="1"/>
    </xf>
    <xf numFmtId="0" fontId="21" fillId="61" borderId="0" applyAlignment="1" pivotButton="0" quotePrefix="0" xfId="0">
      <alignment vertical="center" wrapText="1"/>
    </xf>
    <xf numFmtId="0" fontId="14" fillId="62" borderId="0" applyAlignment="1" pivotButton="0" quotePrefix="0" xfId="0">
      <alignment horizontal="center" vertical="center" wrapText="1"/>
    </xf>
    <xf numFmtId="0" fontId="5" fillId="62" borderId="0" applyAlignment="1" pivotButton="0" quotePrefix="0" xfId="0">
      <alignment wrapText="1"/>
    </xf>
    <xf numFmtId="0" fontId="5" fillId="62" borderId="0" applyAlignment="1" pivotButton="0" quotePrefix="0" xfId="0">
      <alignment wrapText="1"/>
    </xf>
    <xf numFmtId="0" fontId="14" fillId="62" borderId="102" applyAlignment="1" pivotButton="0" quotePrefix="0" xfId="0">
      <alignment horizontal="center" vertical="center" wrapText="1"/>
    </xf>
    <xf numFmtId="0" fontId="14" fillId="62" borderId="103" applyAlignment="1" pivotButton="0" quotePrefix="0" xfId="0">
      <alignment horizontal="center" vertical="center" wrapText="1"/>
    </xf>
    <xf numFmtId="0" fontId="14" fillId="62" borderId="104" applyAlignment="1" pivotButton="0" quotePrefix="0" xfId="0">
      <alignment horizontal="center" vertical="center" wrapText="1"/>
    </xf>
    <xf numFmtId="0" fontId="14" fillId="62" borderId="105" applyAlignment="1" pivotButton="0" quotePrefix="0" xfId="0">
      <alignment horizontal="center" vertical="center" wrapText="1"/>
    </xf>
    <xf numFmtId="0" fontId="14" fillId="62" borderId="0" applyAlignment="1" pivotButton="0" quotePrefix="0" xfId="0">
      <alignment horizontal="center" vertical="center" wrapText="1"/>
    </xf>
    <xf numFmtId="0" fontId="14" fillId="62" borderId="106" applyAlignment="1" pivotButton="0" quotePrefix="0" xfId="0">
      <alignment horizontal="center" vertical="center" wrapText="1"/>
    </xf>
    <xf numFmtId="0" fontId="5" fillId="62" borderId="107" applyAlignment="1" pivotButton="0" quotePrefix="0" xfId="0">
      <alignment wrapText="1"/>
    </xf>
    <xf numFmtId="0" fontId="5" fillId="62" borderId="108" applyAlignment="1" pivotButton="0" quotePrefix="0" xfId="0">
      <alignment wrapText="1"/>
    </xf>
    <xf numFmtId="0" fontId="5" fillId="62" borderId="109" applyAlignment="1" pivotButton="0" quotePrefix="0" xfId="0">
      <alignment wrapText="1"/>
    </xf>
    <xf numFmtId="0" fontId="14" fillId="63" borderId="0" applyAlignment="1" pivotButton="0" quotePrefix="0" xfId="0">
      <alignment vertical="center" wrapText="1"/>
    </xf>
    <xf numFmtId="0" fontId="5" fillId="63" borderId="0" pivotButton="0" quotePrefix="0" xfId="0"/>
    <xf numFmtId="0" fontId="31" fillId="63" borderId="0" applyAlignment="1" pivotButton="0" quotePrefix="0" xfId="0">
      <alignment vertical="center" wrapText="1"/>
    </xf>
    <xf numFmtId="0" fontId="31" fillId="63" borderId="0" pivotButton="0" quotePrefix="0" xfId="0"/>
    <xf numFmtId="0" fontId="31" fillId="63" borderId="0" applyAlignment="1" pivotButton="0" quotePrefix="0" xfId="0">
      <alignment wrapText="1"/>
    </xf>
    <xf numFmtId="0" fontId="5" fillId="6" borderId="0" applyAlignment="1" pivotButton="0" quotePrefix="0" xfId="0">
      <alignment wrapText="1"/>
    </xf>
    <xf numFmtId="0" fontId="21" fillId="6" borderId="0" applyAlignment="1" pivotButton="0" quotePrefix="0" xfId="0">
      <alignment wrapText="1"/>
    </xf>
    <xf numFmtId="0" fontId="21" fillId="6" borderId="0" applyAlignment="1" pivotButton="0" quotePrefix="0" xfId="0">
      <alignment vertical="center" wrapText="1"/>
    </xf>
    <xf numFmtId="0" fontId="21" fillId="6" borderId="0" applyAlignment="1" pivotButton="0" quotePrefix="0" xfId="0">
      <alignment vertical="center" wrapText="1"/>
    </xf>
    <xf numFmtId="0" fontId="14" fillId="3" borderId="0" applyAlignment="1" pivotButton="0" quotePrefix="0" xfId="0">
      <alignment horizontal="center" vertical="center" wrapText="1"/>
    </xf>
    <xf numFmtId="0" fontId="5" fillId="3" borderId="0" applyAlignment="1" pivotButton="0" quotePrefix="0" xfId="0">
      <alignment wrapText="1"/>
    </xf>
    <xf numFmtId="0" fontId="5" fillId="3" borderId="0" applyAlignment="1" pivotButton="0" quotePrefix="0" xfId="0">
      <alignment wrapText="1"/>
    </xf>
    <xf numFmtId="0" fontId="14" fillId="3" borderId="0" applyAlignment="1" pivotButton="0" quotePrefix="0" xfId="0">
      <alignment horizontal="center" vertical="center" wrapText="1"/>
    </xf>
    <xf numFmtId="0" fontId="14" fillId="7" borderId="0" applyAlignment="1" pivotButton="0" quotePrefix="0" xfId="0">
      <alignment vertical="center" wrapText="1"/>
    </xf>
    <xf numFmtId="0" fontId="31" fillId="7" borderId="0" applyAlignment="1" pivotButton="0" quotePrefix="0" xfId="0">
      <alignment vertical="center" wrapText="1"/>
    </xf>
    <xf numFmtId="0" fontId="31" fillId="7" borderId="0" pivotButton="0" quotePrefix="0" xfId="0"/>
    <xf numFmtId="0" fontId="31" fillId="7" borderId="0" applyAlignment="1" pivotButton="0" quotePrefix="0" xfId="0">
      <alignment wrapText="1"/>
    </xf>
    <xf numFmtId="3" fontId="30" fillId="64" borderId="0" applyAlignment="1" pivotButton="0" quotePrefix="0" xfId="0">
      <alignment horizontal="center" vertical="center" wrapText="1"/>
    </xf>
    <xf numFmtId="3" fontId="30" fillId="64" borderId="0" applyAlignment="1" pivotButton="0" quotePrefix="0" xfId="0">
      <alignment horizontal="center" vertical="center" wrapText="1"/>
    </xf>
    <xf numFmtId="0" fontId="30" fillId="64" borderId="0" applyAlignment="1" pivotButton="0" quotePrefix="0" xfId="0">
      <alignment horizontal="center" vertical="center" wrapText="1"/>
    </xf>
    <xf numFmtId="0" fontId="30" fillId="64" borderId="0" applyAlignment="1" pivotButton="0" quotePrefix="0" xfId="0">
      <alignment horizontal="center" vertical="center" wrapText="1"/>
    </xf>
    <xf numFmtId="0" fontId="32" fillId="65" borderId="109" pivotButton="0" quotePrefix="0" xfId="0"/>
    <xf numFmtId="0" fontId="0" fillId="65" borderId="109" pivotButton="0" quotePrefix="0" xfId="0"/>
    <xf numFmtId="0" fontId="40" fillId="0" borderId="109" applyAlignment="1" pivotButton="0" quotePrefix="0" xfId="0">
      <alignment horizontal="right" vertical="center"/>
    </xf>
    <xf numFmtId="0" fontId="0" fillId="0" borderId="109" pivotButton="0" quotePrefix="0" xfId="0"/>
    <xf numFmtId="0" fontId="34" fillId="0" borderId="109" applyAlignment="1" pivotButton="0" quotePrefix="0" xfId="0">
      <alignment horizontal="left" vertical="center" wrapText="1"/>
    </xf>
    <xf numFmtId="0" fontId="33" fillId="0" borderId="0" pivotButton="0" quotePrefix="0" xfId="0"/>
    <xf numFmtId="0" fontId="33" fillId="0" borderId="109" applyAlignment="1" pivotButton="0" quotePrefix="0" xfId="0">
      <alignment horizontal="left" vertical="center" wrapText="1"/>
    </xf>
    <xf numFmtId="0" fontId="35" fillId="66" borderId="110" applyAlignment="1" pivotButton="0" quotePrefix="0" xfId="0">
      <alignment horizontal="center" vertical="center"/>
    </xf>
    <xf numFmtId="0" fontId="17" fillId="0" borderId="110" applyAlignment="1" pivotButton="0" quotePrefix="0" xfId="0">
      <alignment horizontal="center" vertical="center"/>
    </xf>
    <xf numFmtId="0" fontId="5" fillId="67" borderId="110" applyAlignment="1" pivotButton="0" quotePrefix="0" xfId="0">
      <alignment horizontal="center" vertical="center"/>
    </xf>
    <xf numFmtId="0" fontId="36" fillId="68" borderId="110" applyAlignment="1" applyProtection="1" pivotButton="0" quotePrefix="0" xfId="0">
      <alignment horizontal="center" vertical="center"/>
      <protection locked="0" hidden="0"/>
    </xf>
    <xf numFmtId="0" fontId="37" fillId="67" borderId="110" applyAlignment="1" pivotButton="0" quotePrefix="0" xfId="0">
      <alignment horizontal="center" vertical="center"/>
    </xf>
    <xf numFmtId="0" fontId="5" fillId="0" borderId="110" applyAlignment="1" pivotButton="0" quotePrefix="0" xfId="0">
      <alignment horizontal="center" vertical="center"/>
    </xf>
    <xf numFmtId="0" fontId="5" fillId="0" borderId="110" applyAlignment="1" pivotButton="0" quotePrefix="0" xfId="0">
      <alignment horizontal="left" vertical="center" wrapText="1"/>
    </xf>
    <xf numFmtId="0" fontId="38" fillId="68" borderId="110" applyAlignment="1" pivotButton="0" quotePrefix="0" xfId="0">
      <alignment horizontal="left" vertical="center" wrapText="1"/>
    </xf>
    <xf numFmtId="0" fontId="39" fillId="69" borderId="110" applyAlignment="1" pivotButton="0" quotePrefix="0" xfId="0">
      <alignment horizontal="left" vertical="center" wrapText="1"/>
    </xf>
    <xf numFmtId="0" fontId="0" fillId="0" borderId="113" pivotButton="0" quotePrefix="0" xfId="0"/>
    <xf numFmtId="0" fontId="0" fillId="0" borderId="114" pivotButton="0" quotePrefix="0" xfId="0"/>
    <xf numFmtId="0" fontId="5" fillId="68" borderId="110" applyAlignment="1" pivotButton="0" quotePrefix="0" xfId="0">
      <alignment horizontal="left" vertical="center" wrapText="1"/>
    </xf>
    <xf numFmtId="0" fontId="0" fillId="0" borderId="111" pivotButton="0" quotePrefix="0" xfId="0"/>
    <xf numFmtId="0" fontId="0" fillId="0" borderId="112" pivotButton="0" quotePrefix="0" xfId="0"/>
    <xf numFmtId="0" fontId="0" fillId="0" borderId="115" pivotButton="0" quotePrefix="0" xfId="0"/>
    <xf numFmtId="0" fontId="0" fillId="0" borderId="116" pivotButton="0" quotePrefix="0" xfId="0"/>
    <xf numFmtId="0" fontId="0" fillId="0" borderId="117" pivotButton="0" quotePrefix="0" xfId="0"/>
    <xf numFmtId="0" fontId="0" fillId="0" borderId="118" pivotButton="0" quotePrefix="0" xfId="0"/>
    <xf numFmtId="0" fontId="0" fillId="0" borderId="119" pivotButton="0" quotePrefix="0" xfId="0"/>
    <xf numFmtId="0" fontId="17" fillId="0" borderId="109" applyProtection="1" pivotButton="0" quotePrefix="0" xfId="0">
      <protection locked="1" hidden="1"/>
    </xf>
    <xf numFmtId="0" fontId="17" fillId="0" borderId="0" pivotButton="0" quotePrefix="0" xfId="0"/>
    <xf numFmtId="0" fontId="35" fillId="70" borderId="110" applyAlignment="1" pivotButton="0" quotePrefix="0" xfId="0">
      <alignment horizontal="center" vertical="center"/>
    </xf>
    <xf numFmtId="0" fontId="5" fillId="71" borderId="110" applyAlignment="1" pivotButton="0" quotePrefix="0" xfId="0">
      <alignment horizontal="center" vertical="center"/>
    </xf>
    <xf numFmtId="0" fontId="5" fillId="71" borderId="110" pivotButton="0" quotePrefix="0" xfId="0"/>
    <xf numFmtId="166" fontId="0" fillId="0" borderId="110" applyProtection="1" pivotButton="0" quotePrefix="0" xfId="0">
      <protection locked="1" hidden="1"/>
    </xf>
    <xf numFmtId="166" fontId="36" fillId="68" borderId="110" applyProtection="1" pivotButton="0" quotePrefix="0" xfId="0">
      <protection locked="0" hidden="0"/>
    </xf>
    <xf numFmtId="166" fontId="17" fillId="0" borderId="110" applyProtection="1" pivotButton="0" quotePrefix="0" xfId="0">
      <protection locked="1" hidden="1"/>
    </xf>
    <xf numFmtId="0" fontId="33" fillId="0" borderId="110" pivotButton="0" quotePrefix="0" xfId="0"/>
    <xf numFmtId="0" fontId="5" fillId="72" borderId="110" applyAlignment="1" pivotButton="0" quotePrefix="0" xfId="0">
      <alignment horizontal="center" vertical="center"/>
    </xf>
    <xf numFmtId="0" fontId="5" fillId="72" borderId="110" pivotButton="0" quotePrefix="0" xfId="0"/>
    <xf numFmtId="0" fontId="5" fillId="73" borderId="110" applyAlignment="1" pivotButton="0" quotePrefix="0" xfId="0">
      <alignment horizontal="center" vertical="center"/>
    </xf>
    <xf numFmtId="0" fontId="5" fillId="73" borderId="110" pivotButton="0" quotePrefix="0" xfId="0"/>
    <xf numFmtId="0" fontId="0" fillId="0" borderId="110" pivotButton="0" quotePrefix="0" xfId="0"/>
    <xf numFmtId="0" fontId="17" fillId="0" borderId="110" pivotButton="0" quotePrefix="0" xfId="0"/>
    <xf numFmtId="166" fontId="17" fillId="69" borderId="110" applyProtection="1" pivotButton="0" quotePrefix="0" xfId="0">
      <protection locked="1" hidden="1"/>
    </xf>
    <xf numFmtId="0" fontId="0" fillId="0" borderId="110" applyAlignment="1" pivotButton="0" quotePrefix="0" xfId="0">
      <alignment horizontal="center" vertical="center"/>
    </xf>
    <xf numFmtId="0" fontId="5" fillId="0" borderId="110" pivotButton="0" quotePrefix="0" xfId="0"/>
    <xf numFmtId="166" fontId="5" fillId="0" borderId="110" applyProtection="1" pivotButton="0" quotePrefix="0" xfId="0">
      <protection locked="1" hidden="1"/>
    </xf>
    <xf numFmtId="0" fontId="17" fillId="0" borderId="110" applyProtection="1" pivotButton="0" quotePrefix="0" xfId="0">
      <protection locked="1" hidden="1"/>
    </xf>
    <xf numFmtId="166" fontId="0" fillId="0" borderId="110" pivotButton="0" quotePrefix="0" xfId="0"/>
    <xf numFmtId="0" fontId="17" fillId="71" borderId="110" pivotButton="0" quotePrefix="0" xfId="0"/>
    <xf numFmtId="0" fontId="17" fillId="0" borderId="110" applyAlignment="1" applyProtection="1" pivotButton="0" quotePrefix="0" xfId="0">
      <alignment horizontal="center" vertical="center"/>
      <protection locked="1" hidden="1"/>
    </xf>
    <xf numFmtId="0" fontId="33" fillId="0" borderId="110" applyAlignment="1" pivotButton="0" quotePrefix="0" xfId="0">
      <alignment horizontal="left" vertical="center" wrapText="1"/>
    </xf>
    <xf numFmtId="0" fontId="17" fillId="72" borderId="110" pivotButton="0" quotePrefix="0" xfId="0"/>
    <xf numFmtId="0" fontId="17" fillId="73" borderId="110" pivotButton="0" quotePrefix="0" xfId="0"/>
    <xf numFmtId="0" fontId="33" fillId="68" borderId="0" applyAlignment="1" pivotButton="0" quotePrefix="0" xfId="0">
      <alignment horizontal="left" vertical="center" wrapText="1"/>
    </xf>
    <xf numFmtId="166" fontId="5" fillId="0" borderId="110" pivotButton="0" quotePrefix="0" xfId="0"/>
    <xf numFmtId="0" fontId="0" fillId="0" borderId="109" applyProtection="1" pivotButton="0" quotePrefix="0" xfId="0">
      <protection locked="1" hidden="1"/>
    </xf>
  </cellXfs>
  <cellStyles count="1">
    <cellStyle name="Normal" xfId="0"/>
  </cellStyles>
  <dxfs count="37">
    <dxf>
      <font>
        <b val="1"/>
        <color rgb="FF006100"/>
      </font>
      <fill>
        <patternFill>
          <bgColor rgb="FFE2F0D9"/>
        </patternFill>
      </fill>
    </dxf>
    <dxf>
      <font>
        <b val="1"/>
        <color rgb="FFC00000"/>
      </font>
      <fill>
        <patternFill>
          <bgColor rgb="FFFCE4D6"/>
        </patternFill>
      </fill>
    </dxf>
    <dxf>
      <font>
        <b val="1"/>
        <color rgb="FF006100"/>
      </font>
      <fill>
        <patternFill>
          <bgColor rgb="FFE2F0D9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006100"/>
      </font>
      <fill>
        <patternFill>
          <bgColor rgb="FFE2F0D9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7F6000"/>
      </font>
      <fill>
        <patternFill>
          <bgColor rgb="FFFFF2CC"/>
        </patternFill>
      </fill>
    </dxf>
    <dxf>
      <font>
        <b val="1"/>
        <color rgb="FF006100"/>
      </font>
      <fill>
        <patternFill>
          <bgColor rgb="FFE2F0D9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006100"/>
      </font>
      <fill>
        <patternFill>
          <bgColor rgb="FFE2F0D9"/>
        </patternFill>
      </fill>
    </dxf>
    <dxf>
      <font>
        <color rgb="FFC00000"/>
      </font>
      <fill>
        <patternFill>
          <bgColor rgb="FFFCE4D6"/>
        </patternFill>
      </fill>
    </dxf>
    <dxf>
      <font>
        <b val="1"/>
        <color rgb="FF006100"/>
      </font>
      <fill>
        <patternFill>
          <bgColor rgb="FFE2F0D9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7F6000"/>
      </font>
      <fill>
        <patternFill>
          <bgColor rgb="FFFFF2CC"/>
        </patternFill>
      </fill>
    </dxf>
    <dxf>
      <font>
        <b val="1"/>
        <color rgb="FF006100"/>
      </font>
      <fill>
        <patternFill>
          <bgColor rgb="FFE2F0D9"/>
        </patternFill>
      </fill>
    </dxf>
    <dxf>
      <font>
        <b val="1"/>
        <color rgb="FFC00000"/>
      </font>
      <fill>
        <patternFill>
          <bgColor rgb="FFFCE4D6"/>
        </patternFill>
      </fill>
    </dxf>
    <dxf>
      <font>
        <b val="1"/>
        <color rgb="FF006100"/>
      </font>
      <fill>
        <patternFill>
          <bgColor rgb="FFE2F0D9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006100"/>
      </font>
      <fill>
        <patternFill>
          <bgColor rgb="FFE2F0D9"/>
        </patternFill>
      </fill>
    </dxf>
    <dxf>
      <font>
        <b val="1"/>
        <color rgb="FF7F6000"/>
      </font>
      <fill>
        <patternFill>
          <bgColor rgb="FFFFF2CC"/>
        </patternFill>
      </fill>
    </dxf>
    <dxf>
      <font>
        <b val="1"/>
        <color rgb="FF006100"/>
      </font>
      <fill>
        <patternFill>
          <bgColor rgb="FFE2F0D9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006100"/>
      </font>
      <fill>
        <patternFill>
          <bgColor rgb="FFE2F0D9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7F6000"/>
      </font>
      <fill>
        <patternFill>
          <bgColor rgb="FFFFF2CC"/>
        </patternFill>
      </fill>
    </dxf>
    <dxf>
      <font>
        <b val="1"/>
        <color rgb="FF006100"/>
      </font>
      <fill>
        <patternFill>
          <bgColor rgb="FFE2F0D9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006100"/>
      </font>
      <fill>
        <patternFill>
          <bgColor rgb="FFE2F0D9"/>
        </patternFill>
      </fill>
    </dxf>
    <dxf>
      <font>
        <color rgb="FF7F6000"/>
      </font>
      <fill>
        <patternFill>
          <bgColor rgb="FFFFF2CC"/>
        </patternFill>
      </fill>
    </dxf>
    <dxf>
      <font>
        <b val="1"/>
        <color rgb="FF006100"/>
      </font>
      <fill>
        <patternFill>
          <bgColor rgb="FFE2F0D9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006100"/>
      </font>
      <fill>
        <patternFill>
          <bgColor rgb="FFE2F0D9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name val="맑은 고딕"/>
        <b val="1"/>
        <color rgb="00006100"/>
        <sz val="10"/>
      </font>
      <fill>
        <patternFill patternType="solid">
          <fgColor rgb="00C6EFCE"/>
        </patternFill>
      </fill>
    </dxf>
    <dxf>
      <font>
        <name val="맑은 고딕"/>
        <color rgb="00808080"/>
        <sz val="10"/>
      </font>
    </dxf>
    <dxf>
      <font>
        <name val="맑은 고딕"/>
        <b val="1"/>
        <color rgb="009C0006"/>
        <sz val="10"/>
      </font>
      <fill>
        <patternFill patternType="solid">
          <fgColor rgb="00FFC7CE"/>
        </patternFill>
      </fill>
    </dxf>
    <dxf>
      <font>
        <name val="맑은 고딕"/>
        <b val="1"/>
        <color rgb="009C6500"/>
        <sz val="10"/>
      </font>
      <fill>
        <patternFill patternType="solid">
          <fgColor rgb="00FFEB9C"/>
        </patternFill>
      </fill>
    </dxf>
  </dxf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38100</xdr:colOff>
      <xdr:row>18</xdr:row>
      <xdr:rowOff>19050</xdr:rowOff>
    </xdr:from>
    <xdr:ext cx="3300000" cy="950000"/>
    <xdr:sp macro="ImportAllFiles" textlink="">
      <xdr:nvSpPr>
        <xdr:cNvPr id="100" name="Button0"/>
        <xdr:cNvSpPr>
          <a:spLocks noRot="1"/>
        </xdr:cNvSpPr>
      </xdr:nvSpPr>
      <xdr:spPr>
        <a:prstGeom prst="roundRect">
          <a:avLst>
            <a:gd name="adj" fmla="val 16667"/>
          </a:avLst>
        </a:prstGeom>
        <a:solidFill>
          <a:srgbClr val="C00000"/>
        </a:solidFill>
        <a:ln>
          <a:noFill/>
        </a:ln>
        <a:effectLst>
          <a:outerShdw blurRad="50800" dist="25400" dir="5400000" algn="ctr" rotWithShape="0">
            <a:prstClr val="black">
              <a:alpha val="35000"/>
            </a:prstClr>
          </a:outerShdw>
        </a:effectLst>
      </xdr:spPr>
      <xdr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prstClr val="black"/>
        </a:fontRef>
      </xdr:style>
      <xdr:txBody>
        <a:bodyPr vertOverflow="overflow" horzOverflow="overflow" wrap="square" lIns="45085" tIns="23495" rIns="45085" bIns="23495" anchor="ctr"/>
        <a:lstStyle/>
        <a:p>
          <a:pPr algn="ctr"/>
          <a:r>
            <a:rPr lang="ko-KR" altLang="en-US" sz="1800" b="1">
              <a:solidFill>
                <a:srgbClr val="FFFFFF"/>
              </a:solidFill>
              <a:latin typeface="맑은 고딕"/>
              <a:ea typeface="맑은 고딕"/>
            </a:rPr>
            <a:t>① 자료 6개 불러오기</a:t>
          </a:r>
        </a:p>
      </xdr:txBody>
    </xdr:sp>
    <xdr:clientData fLocksWithSheet="0"/>
  </xdr:oneCellAnchor>
  <xdr:oneCellAnchor>
    <xdr:from>
      <xdr:col>2</xdr:col>
      <xdr:colOff>50000</xdr:colOff>
      <xdr:row>18</xdr:row>
      <xdr:rowOff>19050</xdr:rowOff>
    </xdr:from>
    <xdr:ext cx="1300000" cy="950000"/>
    <xdr:sp macro="ShowResult" textlink="">
      <xdr:nvSpPr>
        <xdr:cNvPr id="101" name="Button1"/>
        <xdr:cNvSpPr>
          <a:spLocks noRot="1"/>
        </xdr:cNvSpPr>
      </xdr:nvSpPr>
      <xdr:spPr>
        <a:prstGeom prst="roundRect">
          <a:avLst>
            <a:gd name="adj" fmla="val 16667"/>
          </a:avLst>
        </a:prstGeom>
        <a:solidFill>
          <a:srgbClr val="548235"/>
        </a:solidFill>
        <a:ln>
          <a:noFill/>
        </a:ln>
        <a:effectLst>
          <a:outerShdw blurRad="50800" dist="25400" dir="5400000" algn="ctr" rotWithShape="0">
            <a:prstClr val="black">
              <a:alpha val="35000"/>
            </a:prstClr>
          </a:outerShdw>
        </a:effectLst>
      </xdr:spPr>
      <xdr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prstClr val="black"/>
        </a:fontRef>
      </xdr:style>
      <xdr:txBody>
        <a:bodyPr vertOverflow="overflow" horzOverflow="overflow" wrap="square" lIns="45085" tIns="23495" rIns="45085" bIns="23495" anchor="ctr"/>
        <a:lstStyle/>
        <a:p>
          <a:pPr algn="ctr"/>
          <a:r>
            <a:rPr lang="ko-KR" altLang="en-US" sz="1200" b="1">
              <a:solidFill>
                <a:srgbClr val="FFFFFF"/>
              </a:solidFill>
              <a:latin typeface="맑은 고딕"/>
              <a:ea typeface="맑은 고딕"/>
            </a:rPr>
            <a:t>② 결과 보기</a:t>
          </a:r>
        </a:p>
      </xdr:txBody>
    </xdr:sp>
    <xdr:clientData fLocksWithSheet="0"/>
  </xdr:oneCellAnchor>
  <xdr:oneCellAnchor>
    <xdr:from>
      <xdr:col>2</xdr:col>
      <xdr:colOff>1450000</xdr:colOff>
      <xdr:row>18</xdr:row>
      <xdr:rowOff>19050</xdr:rowOff>
    </xdr:from>
    <xdr:ext cx="1300000" cy="950000"/>
    <xdr:sp macro="ClearAllData" textlink="">
      <xdr:nvSpPr>
        <xdr:cNvPr id="102" name="Button2"/>
        <xdr:cNvSpPr>
          <a:spLocks noRot="1"/>
        </xdr:cNvSpPr>
      </xdr:nvSpPr>
      <xdr:spPr>
        <a:prstGeom prst="roundRect">
          <a:avLst>
            <a:gd name="adj" fmla="val 16667"/>
          </a:avLst>
        </a:prstGeom>
        <a:solidFill>
          <a:srgbClr val="808080"/>
        </a:solidFill>
        <a:ln>
          <a:noFill/>
        </a:ln>
        <a:effectLst>
          <a:outerShdw blurRad="50800" dist="25400" dir="5400000" algn="ctr" rotWithShape="0">
            <a:prstClr val="black">
              <a:alpha val="35000"/>
            </a:prstClr>
          </a:outerShdw>
        </a:effectLst>
      </xdr:spPr>
      <xdr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prstClr val="black"/>
        </a:fontRef>
      </xdr:style>
      <xdr:txBody>
        <a:bodyPr vertOverflow="overflow" horzOverflow="overflow" wrap="square" lIns="45085" tIns="23495" rIns="45085" bIns="23495" anchor="ctr"/>
        <a:lstStyle/>
        <a:p>
          <a:pPr algn="ctr"/>
          <a:r>
            <a:rPr lang="ko-KR" altLang="en-US" sz="1200" b="1">
              <a:solidFill>
                <a:srgbClr val="FFFFFF"/>
              </a:solidFill>
              <a:latin typeface="맑은 고딕"/>
              <a:ea typeface="맑은 고딕"/>
            </a:rPr>
            <a:t>자료 지우기</a:t>
          </a:r>
        </a:p>
      </xdr:txBody>
    </xdr:sp>
    <xdr:clientData fLocksWithSheet="0"/>
  </xdr:one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Y34"/>
  <sheetViews>
    <sheetView showGridLines="0" workbookViewId="0">
      <selection activeCell="A1" sqref="A1"/>
    </sheetView>
  </sheetViews>
  <sheetFormatPr baseColWidth="8" defaultRowHeight="15"/>
  <cols>
    <col width="9" customWidth="1" style="554" min="1" max="1"/>
    <col width="40" customWidth="1" style="554" min="2" max="2"/>
    <col width="42" customWidth="1" style="554" min="3" max="3"/>
    <col width="24" customWidth="1" style="554" min="4" max="4"/>
    <col width="16" customWidth="1" style="554" min="5" max="5"/>
    <col hidden="1" width="13" customWidth="1" style="554" min="8" max="8"/>
    <col hidden="1" width="13" customWidth="1" style="554" min="25" max="25"/>
  </cols>
  <sheetData>
    <row r="1" ht="26" customHeight="1" s="554">
      <c r="A1" s="1317" t="inlineStr">
        <is>
          <t>학교 급여 원천세·4대보험 자동계산 — 파일 넣기</t>
        </is>
      </c>
      <c r="B1" s="1320" t="n"/>
      <c r="C1" s="1320" t="n"/>
      <c r="D1" s="1320" t="n"/>
      <c r="E1" s="1320" t="n"/>
    </row>
    <row r="2" ht="15" customHeight="1" s="554">
      <c r="A2" s="1319" t="inlineStr">
        <is>
          <t>제작 : 최은영    |    경기도구리남양주교육지원청 와부초등학교</t>
        </is>
      </c>
      <c r="B2" s="1320" t="n"/>
      <c r="C2" s="1320" t="n"/>
      <c r="D2" s="1320" t="n"/>
      <c r="E2" s="1320" t="n"/>
    </row>
    <row r="3" ht="26" customHeight="1" s="554">
      <c r="A3" s="1321">
        <f>CHOOSE($H$3,"1단계.  나이스 공무원급여 급여총괄표 파일을 넣어주세요.","2단계.  나이스 교육공무직급여 급여총괄표 파일을 넣어주세요.","3단계.  교데통 기간제교원(시간강사 포함) 기관부담금 신청 파일을 넣어주세요.","4단계.  교데통 교육공무직원(기타급여4) 기관부담금 신청 파일을 넣어주세요.","5단계.  교육청 원천세 및 4대보험(학교발송용) 파일을 넣어주세요.","6단계.  교육청 교육공무직원(기타급여4) 원천세 및 개인부담금 파일을 넣어주세요.","● 6개 자료가 모두 들어왔습니다. [결과 보기]를 누르세요.")</f>
        <v/>
      </c>
      <c r="B3" s="1320" t="n"/>
      <c r="C3" s="1320" t="n"/>
      <c r="D3" s="1320" t="n"/>
      <c r="E3" s="1320" t="n"/>
      <c r="H3" s="1322">
        <f>IF($E$12="○ 대기",1,IF($E$13="○ 대기",2,IF($E$14="○ 대기",3,IF($E$15="○ 대기",4,IF($E$16="○ 대기",5,IF($E$17="○ 대기",6,7))))))</f>
        <v/>
      </c>
      <c r="Y3" t="inlineStr">
        <is>
          <t>자료 6개를 순서대로 선택하는 창이 차례로 열립니다.
1 나이스 공무원 → 2 나이스 교육공무직 → 3 교데통 기간제 → 4 교데통 기타4 → 5 교육청 교직원 → 6 교육청 교육공무직</t>
        </is>
      </c>
    </row>
    <row r="4">
      <c r="A4" s="1323">
        <f>CHOOSE($H$3,"내려받는 곳: 나이스 &gt; 공무원급여 &gt; 급여대장 &gt; 전체(관할기관관리별) &gt; 월급여 &gt; 급여총괄표","내려받는 곳: 나이스 &gt; 교육공무직급여 &gt; 급여대장 &gt; 전체(관할기관관리별) &gt; 기타급여4 &gt; 급여총괄표","내려받는 곳: 교육데이터포털(교데통)","내려받는 곳: 교육데이터포털(교데통)","내려받는 곳: 교육청 매월 8일 발송 · 한셀(.cell) 가능","내려받는 곳: 교육청 매월 8일 발송","결과_수납신고 시트에서 신고 금액을, 세외 수납금액 시트에서 수납액을 확인하세요.")</f>
        <v/>
      </c>
      <c r="B4" s="1320" t="n"/>
      <c r="C4" s="1320" t="n"/>
      <c r="D4" s="1320" t="n"/>
      <c r="E4" s="1320" t="n"/>
      <c r="H4">
        <f>IFERROR(INDEX('1_나이스_공무원'!$A$1:$A$8,MATCH("*년*월*",'1_나이스_공무원'!$A$1:$A$8,0)),"")</f>
        <v/>
      </c>
      <c r="Y4" t="inlineStr">
        <is>
          <t>1단계. 나이스 공무원급여 급여총괄표 파일을 선택하세요</t>
        </is>
      </c>
    </row>
    <row r="5">
      <c r="H5">
        <f>IFERROR(INDEX('5_교육청_교직원'!$A$1:$A$8,MATCH("*년*월*",'5_교육청_교직원'!$A$1:$A$8,0)),"")</f>
        <v/>
      </c>
      <c r="Y5" t="inlineStr">
        <is>
          <t>2단계. 나이스 교육공무직급여 급여총괄표 파일을 선택하세요</t>
        </is>
      </c>
    </row>
    <row r="6" ht="20" customHeight="1" s="554">
      <c r="A6" s="1324" t="inlineStr">
        <is>
          <t>구분</t>
        </is>
      </c>
      <c r="B6" s="1324" t="inlineStr">
        <is>
          <t>자동 인식</t>
        </is>
      </c>
      <c r="C6" s="1324" t="inlineStr">
        <is>
          <t>직접 입력(다를 때만)</t>
        </is>
      </c>
      <c r="D6" s="1324" t="inlineStr">
        <is>
          <t>적용값</t>
        </is>
      </c>
      <c r="E6" s="1324" t="inlineStr"/>
      <c r="H6">
        <f>IFERROR(INDEX('6_교육청_교육공무직'!$A$1:$A$8,MATCH("*년*월*",'6_교육청_교육공무직'!$A$1:$A$8,0)),"")</f>
        <v/>
      </c>
      <c r="Y6" t="inlineStr">
        <is>
          <t>3단계. 교데통 기간제교원 기관부담금 신청 파일을 선택하세요</t>
        </is>
      </c>
    </row>
    <row r="7">
      <c r="A7" s="1325" t="inlineStr">
        <is>
          <t>학교명</t>
        </is>
      </c>
      <c r="B7" s="1326">
        <f>IFERROR(INDEX(OFFSET('5_교육청_교직원'!$A$1,0,'자동인식값'!$B$28-1,600,1),MATCH("*학교",OFFSET('5_교육청_교직원'!$A$1,0,'자동인식값'!$B$28-1,600,1),0)),IFERROR(INDEX(OFFSET('6_교육청_교육공무직'!$A$1,0,'자동인식값'!$B$35-1,600,1),MATCH("*학교",OFFSET('6_교육청_교육공무직'!$A$1,0,'자동인식값'!$B$35-1,600,1),0)),""))</f>
        <v/>
      </c>
      <c r="C7" s="1327" t="n"/>
      <c r="D7" s="1328">
        <f>IF($C$7="",$B$7,$C$7)</f>
        <v/>
      </c>
      <c r="Y7" t="inlineStr">
        <is>
          <t>4단계. 교데통 교육공무직원 기타급여4 기관부담금 신청 파일을 선택하세요</t>
        </is>
      </c>
    </row>
    <row r="8">
      <c r="A8" s="1325" t="inlineStr">
        <is>
          <t>병설유치원명</t>
        </is>
      </c>
      <c r="B8" s="1326">
        <f>IFERROR(INDEX(OFFSET('5_교육청_교직원'!$A$1,0,'자동인식값'!$B$28-1,600,1),MATCH("*병설유치원",OFFSET('5_교육청_교직원'!$A$1,0,'자동인식값'!$B$28-1,600,1),0)),"")</f>
        <v/>
      </c>
      <c r="C8" s="1327" t="n"/>
      <c r="D8" s="1328">
        <f>IF($C$8="",$B$8,$C$8)</f>
        <v/>
      </c>
      <c r="Y8" t="inlineStr">
        <is>
          <t>5단계. 교육청 원천세 및 4대보험(학교발송용) 파일을 선택하세요</t>
        </is>
      </c>
    </row>
    <row r="9">
      <c r="A9" s="1325" t="inlineStr">
        <is>
          <t>귀속연월</t>
        </is>
      </c>
      <c r="B9" s="1326">
        <f>IFERROR(TEXT(DATE(VALUE(LEFT($H$4,4)),VALUE(MID($H$4,FIND("년",$H$4)+1,FIND("월",$H$4)-FIND("년",$H$4)-1)),1),"yyyy년 m월"),IFERROR(TEXT(DATE(VALUE(LEFT($H$5,4)),VALUE(MID($H$5,FIND("년",$H$5)+1,FIND("월",$H$5)-FIND("년",$H$5)-1)),1),"yyyy년 m월"),IFERROR(TEXT(DATE(VALUE(LEFT($H$6,4)),VALUE(MID($H$6,FIND("년",$H$6)+1,FIND("월",$H$6)-FIND("년",$H$6)-1)),1),"yyyy년 m월"),"")))</f>
        <v/>
      </c>
      <c r="C9" s="1327" t="n"/>
      <c r="D9" s="1328">
        <f>IF($C$9="",$B$9,$C$9)</f>
        <v/>
      </c>
      <c r="Y9" t="inlineStr">
        <is>
          <t>6단계. 교육청 교육공무직원 기타급여4 원천세 및 개인부담금 파일을 선택하세요</t>
        </is>
      </c>
    </row>
    <row r="10">
      <c r="Y10" t="inlineStr">
        <is>
          <t>자료를 넣었습니다. 결과_수납신고 시트와 세외 수납금액 시트에서 금액을 확인하세요.</t>
        </is>
      </c>
    </row>
    <row r="11" ht="20" customHeight="1" s="554">
      <c r="A11" s="1324" t="inlineStr">
        <is>
          <t>순서</t>
        </is>
      </c>
      <c r="B11" s="1324" t="inlineStr">
        <is>
          <t>넣어야 하는 파일</t>
        </is>
      </c>
      <c r="C11" s="1324" t="inlineStr">
        <is>
          <t>내려받는 곳</t>
        </is>
      </c>
      <c r="D11" s="1324" t="inlineStr">
        <is>
          <t>들어가는 시트</t>
        </is>
      </c>
      <c r="E11" s="1324" t="inlineStr">
        <is>
          <t>상태</t>
        </is>
      </c>
      <c r="Y11" t="inlineStr">
        <is>
          <t>넣어둔 자료 6개를 모두 지울까요?</t>
        </is>
      </c>
    </row>
    <row r="12" ht="30" customHeight="1" s="554">
      <c r="A12" s="1329" t="n">
        <v>1</v>
      </c>
      <c r="B12" s="1330" t="inlineStr">
        <is>
          <t>나이스 공무원급여 급여총괄표</t>
        </is>
      </c>
      <c r="C12" s="1331" t="inlineStr">
        <is>
          <t>나이스 &gt; 공무원급여 &gt; 급여대장 &gt; 전체(관할기관관리별) &gt; 월급여 &gt; 급여총괄표</t>
        </is>
      </c>
      <c r="D12" s="1330" t="inlineStr">
        <is>
          <t>1_나이스_공무원</t>
        </is>
      </c>
      <c r="E12" s="1329">
        <f>IF(COUNTA('1_나이스_공무원'!$A$1:$Z$8)=0,"○ 대기","● 입력완료")</f>
        <v/>
      </c>
      <c r="Y12" t="inlineStr">
        <is>
          <t>자료를 모두 지웠습니다.</t>
        </is>
      </c>
    </row>
    <row r="13" ht="30" customHeight="1" s="554">
      <c r="A13" s="1329" t="n">
        <v>2</v>
      </c>
      <c r="B13" s="1330" t="inlineStr">
        <is>
          <t>나이스 교육공무직급여 급여총괄표</t>
        </is>
      </c>
      <c r="C13" s="1331" t="inlineStr">
        <is>
          <t>나이스 &gt; 교육공무직급여 &gt; 급여대장 &gt; 전체(관할기관관리별) &gt; 기타급여4 &gt; 급여총괄표</t>
        </is>
      </c>
      <c r="D13" s="1330" t="inlineStr">
        <is>
          <t>2_나이스_교육공무직</t>
        </is>
      </c>
      <c r="E13" s="1329">
        <f>IF(COUNTA('2_나이스_교육공무직'!$A$1:$Z$8)=0,"○ 대기","● 입력완료")</f>
        <v/>
      </c>
      <c r="Y13" t="inlineStr">
        <is>
          <t>다시 넣을 단계 번호를 입력하세요 (1~6)
1 나이스 공무원 / 2 나이스 교육공무직 / 3 교데통 기간제 / 4 교데통 기타4 / 5 교육청 교직원 / 6 교육청 교육공무직</t>
        </is>
      </c>
    </row>
    <row r="14" ht="30" customHeight="1" s="554">
      <c r="A14" s="1329" t="n">
        <v>3</v>
      </c>
      <c r="B14" s="1330" t="inlineStr">
        <is>
          <t>교데통 기간제교원(시간강사 포함) 기관부담금 신청</t>
        </is>
      </c>
      <c r="C14" s="1331" t="inlineStr">
        <is>
          <t>교육데이터포털(교데통)</t>
        </is>
      </c>
      <c r="D14" s="1330" t="inlineStr">
        <is>
          <t>3_교데통_기간제</t>
        </is>
      </c>
      <c r="E14" s="1329">
        <f>IF(COUNTA('3_교데통_기간제'!$A$1:$Z$8)=0,"○ 대기","● 입력완료")</f>
        <v/>
      </c>
      <c r="Y14" t="inlineStr">
        <is>
          <t>자료를 넣는 중 오류가 발생했습니다.</t>
        </is>
      </c>
    </row>
    <row r="15" ht="30" customHeight="1" s="554">
      <c r="A15" s="1329" t="n">
        <v>4</v>
      </c>
      <c r="B15" s="1330" t="inlineStr">
        <is>
          <t>교데통 교육공무직원(기타급여4) 기관부담금 신청</t>
        </is>
      </c>
      <c r="C15" s="1331" t="inlineStr">
        <is>
          <t>교육데이터포털(교데통)</t>
        </is>
      </c>
      <c r="D15" s="1330" t="inlineStr">
        <is>
          <t>4_교데통_기타4</t>
        </is>
      </c>
      <c r="E15" s="1329">
        <f>IF(COUNTA('4_교데통_기타4'!$A$1:$Z$8)=0,"○ 대기","● 입력완료")</f>
        <v/>
      </c>
    </row>
    <row r="16" ht="30" customHeight="1" s="554">
      <c r="A16" s="1329" t="n">
        <v>5</v>
      </c>
      <c r="B16" s="1330" t="inlineStr">
        <is>
          <t>교육청 원천세 및 4대보험(학교발송용)</t>
        </is>
      </c>
      <c r="C16" s="1331" t="inlineStr">
        <is>
          <t>교육청 매월 8일 발송 · 한셀(.cell) 가능</t>
        </is>
      </c>
      <c r="D16" s="1330" t="inlineStr">
        <is>
          <t>5_교육청_교직원</t>
        </is>
      </c>
      <c r="E16" s="1329">
        <f>IF(COUNTA('5_교육청_교직원'!$A$1:$Z$8)=0,"○ 대기","● 입력완료")</f>
        <v/>
      </c>
    </row>
    <row r="17" ht="30" customHeight="1" s="554">
      <c r="A17" s="1329" t="n">
        <v>6</v>
      </c>
      <c r="B17" s="1330" t="inlineStr">
        <is>
          <t>교육청 교육공무직원(기타급여4) 원천세 및 개인부담금</t>
        </is>
      </c>
      <c r="C17" s="1331" t="inlineStr">
        <is>
          <t>교육청 매월 8일 발송</t>
        </is>
      </c>
      <c r="D17" s="1330" t="inlineStr">
        <is>
          <t>6_교육청_교육공무직</t>
        </is>
      </c>
      <c r="E17" s="1329">
        <f>IF(COUNTA('6_교육청_교육공무직'!$A$1:$Z$8)=0,"○ 대기","● 입력완료")</f>
        <v/>
      </c>
    </row>
    <row r="18" ht="24" customHeight="1" s="554"/>
    <row r="19" ht="24" customHeight="1" s="554"/>
    <row r="20" ht="17" customHeight="1" s="554"/>
    <row r="21" ht="17" customHeight="1" s="554"/>
    <row r="22" ht="17" customHeight="1" s="554"/>
    <row r="23" ht="17" customHeight="1" s="554"/>
    <row r="24" ht="34" customHeight="1" s="554">
      <c r="A24" s="1332" t="inlineStr">
        <is>
          <t>★ 1·2단계는 반드시 [급여대장] → [전체(관할기관관리별)] 에서 내려받으세요.  공무원은 월급여, 교육공무직은 기타급여4 입니다.  기관별로 내려받으면 병설유치원 등이 빠져 금액이 맞지 않습니다.</t>
        </is>
      </c>
      <c r="B24" s="1333" t="n"/>
      <c r="C24" s="1333" t="n"/>
      <c r="D24" s="1333" t="n"/>
      <c r="E24" s="1334" t="n"/>
    </row>
    <row r="26">
      <c r="A26" s="1335" t="inlineStr">
        <is>
          <t>① [다음 파일 넣기] 버튼을 누르면 이번 단계에 넣을 파일을 고르는 창이 열립니다. 파일을 고르면 알맞은 시트에 자동으로 들어가고 다음 단계로 넘어갑니다.
② 6개가 모두 들어오면 [결과_수납신고] 시트가 자동으로 열립니다.
③ 새 달에는 [자료 지우기]를 누른 뒤 1단계부터 다시 넣으세요.</t>
        </is>
      </c>
      <c r="B26" s="1336" t="n"/>
      <c r="C26" s="1336" t="n"/>
      <c r="D26" s="1336" t="n"/>
      <c r="E26" s="1337" t="n"/>
    </row>
    <row r="27">
      <c r="A27" s="1338" t="n"/>
      <c r="E27" s="1339" t="n"/>
    </row>
    <row r="28">
      <c r="A28" s="1338" t="n"/>
      <c r="E28" s="1339" t="n"/>
    </row>
    <row r="29">
      <c r="A29" s="1340" t="n"/>
      <c r="B29" s="1341" t="n"/>
      <c r="C29" s="1341" t="n"/>
      <c r="D29" s="1341" t="n"/>
      <c r="E29" s="1342" t="n"/>
    </row>
    <row r="31">
      <c r="A31" s="1323" t="inlineStr">
        <is>
          <t>※ 버튼이 보이지 않으면 엑셀 위쪽의 [콘텐츠 사용] 또는 한셀의 매크로 허용을 먼저 누르세요.
※ 교육청 한셀(.cell) 파일도 그대로 고르면 됩니다. 변환할 필요가 없습니다.
※ 버튼이 동작하지 않으면 [도구]-[매크로]-[매크로 실행]에서 ImportAllFiles 를 실행해도 됩니다.
※ 저장할 때 반드시 매크로를 지원하는 형식(*.xlsm 또는 한셀 *.cell)을 유지하세요.</t>
        </is>
      </c>
      <c r="B31" s="1320" t="n"/>
      <c r="C31" s="1320" t="n"/>
      <c r="D31" s="1320" t="n"/>
      <c r="E31" s="1320" t="n"/>
    </row>
    <row r="32">
      <c r="A32" s="1320" t="n"/>
      <c r="E32" s="1320" t="n"/>
    </row>
    <row r="33">
      <c r="A33" s="1320" t="n"/>
      <c r="E33" s="1320" t="n"/>
    </row>
    <row r="34">
      <c r="A34" s="1320" t="n"/>
      <c r="B34" s="1320" t="n"/>
      <c r="C34" s="1320" t="n"/>
      <c r="D34" s="1320" t="n"/>
      <c r="E34" s="1320" t="n"/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 password="A84D"/>
  <mergeCells count="7">
    <mergeCell ref="A26:E29"/>
    <mergeCell ref="A4:E4"/>
    <mergeCell ref="A24:E24"/>
    <mergeCell ref="A2:E2"/>
    <mergeCell ref="A31:E34"/>
    <mergeCell ref="A1:E1"/>
    <mergeCell ref="A3:E3"/>
  </mergeCells>
  <conditionalFormatting sqref="E12:E17">
    <cfRule type="cellIs" priority="1" operator="equal" dxfId="33">
      <formula>"● 입력완료"</formula>
    </cfRule>
    <cfRule type="cellIs" priority="2" operator="equal" dxfId="34">
      <formula>"○ 대기"</formula>
    </cfRule>
  </conditionalFormatting>
  <dataValidations count="1">
    <dataValidation type="none" allowBlank="1" showInputMessage="1" showErrorMessage="0" promptTitle="처음이세요? 이렇게 쓰세요" prompt="① 아래 표의 '내려받는 곳'에서 자료 6개를 내려받아요.&#10;② 위쪽 노란 줄의 [콘텐츠 사용]을 눌러요.&#10;③ [① 자료 6개 불러오기]를 누르고 파일을 차례로 골라요.&#10;④ [② 결과 보기]로 수납·신고 금액을 확인해요.&#10;※ 나이스 자료는 급여대장 &gt; 전체(관할기관관리별)에서 받기&#10;제작 최은영" sqref="A1:E1"/>
  </dataValidations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F35"/>
  <sheetViews>
    <sheetView showGridLines="0" workbookViewId="0">
      <pane ySplit="6" topLeftCell="A7" activePane="bottomLeft" state="frozen"/>
      <selection pane="bottomLeft" activeCell="A1" sqref="A1"/>
    </sheetView>
  </sheetViews>
  <sheetFormatPr baseColWidth="8" defaultRowHeight="15"/>
  <cols>
    <col width="22" customWidth="1" style="554" min="1" max="1"/>
    <col width="26" customWidth="1" style="554" min="2" max="2"/>
    <col width="16" customWidth="1" style="554" min="3" max="3"/>
    <col width="14" customWidth="1" style="554" min="4" max="4"/>
    <col width="16" customWidth="1" style="554" min="5" max="5"/>
    <col width="42" customWidth="1" style="554" min="6" max="6"/>
  </cols>
  <sheetData>
    <row r="1" ht="26" customHeight="1" s="554">
      <c r="A1" s="1317" t="inlineStr">
        <is>
          <t>결과 — K-에듀파인 수납금액 · 홈택스/위택스 신고금액</t>
        </is>
      </c>
      <c r="B1" s="1320" t="n"/>
      <c r="C1" s="1320" t="n"/>
      <c r="D1" s="1320" t="n"/>
      <c r="E1" s="1320" t="n"/>
      <c r="F1" s="1320" t="n"/>
    </row>
    <row r="3">
      <c r="A3" s="1343">
        <f>"학교: "&amp;'파일넣기'!$D$7&amp;"    귀속: "&amp;'파일넣기'!$D$9</f>
        <v/>
      </c>
      <c r="B3" s="1371" t="n"/>
      <c r="C3" s="1371" t="n"/>
      <c r="D3" s="1371" t="n"/>
      <c r="E3" s="1371" t="n"/>
      <c r="F3" s="1371" t="n"/>
    </row>
    <row r="5">
      <c r="A5" s="1344" t="inlineStr">
        <is>
          <t>1. K-에듀파인 세외현금 수납 항목</t>
        </is>
      </c>
    </row>
    <row r="6" ht="20" customHeight="1" s="554">
      <c r="A6" s="1345" t="inlineStr">
        <is>
          <t>구분</t>
        </is>
      </c>
      <c r="B6" s="1345" t="inlineStr">
        <is>
          <t>수납 항목</t>
        </is>
      </c>
      <c r="C6" s="1345" t="inlineStr">
        <is>
          <t>자동 계산액</t>
        </is>
      </c>
      <c r="D6" s="1345" t="inlineStr">
        <is>
          <t>수동 조정(±)</t>
        </is>
      </c>
      <c r="E6" s="1345" t="inlineStr">
        <is>
          <t>최종 수납액</t>
        </is>
      </c>
      <c r="F6" s="1345" t="inlineStr">
        <is>
          <t>산출 근거</t>
        </is>
      </c>
    </row>
    <row r="7">
      <c r="A7" s="1346" t="inlineStr">
        <is>
          <t>공무원(교직원)</t>
        </is>
      </c>
      <c r="B7" s="1347" t="inlineStr">
        <is>
          <t>공무원 건강보험료</t>
        </is>
      </c>
      <c r="C7" s="1348">
        <f>MAX(0,'자동인식값'!$B$75-'자동인식값'!$B$59)</f>
        <v/>
      </c>
      <c r="D7" s="1349" t="n"/>
      <c r="E7" s="1350">
        <f>C7+N(D7)</f>
        <v/>
      </c>
      <c r="F7" s="1351" t="inlineStr">
        <is>
          <t>교육청 건강보험료 − 기간제 개인부담분</t>
        </is>
      </c>
    </row>
    <row r="8">
      <c r="A8" s="1346" t="inlineStr">
        <is>
          <t>공무원(교직원)</t>
        </is>
      </c>
      <c r="B8" s="1347" t="inlineStr">
        <is>
          <t>교직원 소득세</t>
        </is>
      </c>
      <c r="C8" s="1348">
        <f>'자동인식값'!$B$49</f>
        <v/>
      </c>
      <c r="D8" s="1349" t="n"/>
      <c r="E8" s="1350">
        <f>C8+N(D8)</f>
        <v/>
      </c>
      <c r="F8" s="1351" t="inlineStr">
        <is>
          <t>나이스 공무원 급여총괄표</t>
        </is>
      </c>
    </row>
    <row r="9">
      <c r="A9" s="1346" t="inlineStr">
        <is>
          <t>공무원(교직원)</t>
        </is>
      </c>
      <c r="B9" s="1347" t="inlineStr">
        <is>
          <t>교직원 지방소득세</t>
        </is>
      </c>
      <c r="C9" s="1348">
        <f>'자동인식값'!$B$50</f>
        <v/>
      </c>
      <c r="D9" s="1349" t="n"/>
      <c r="E9" s="1350">
        <f>C9+N(D9)</f>
        <v/>
      </c>
      <c r="F9" s="1351" t="inlineStr">
        <is>
          <t>나이스 공무원 급여총괄표</t>
        </is>
      </c>
    </row>
    <row r="10">
      <c r="A10" s="1352" t="inlineStr">
        <is>
          <t>기간제교원</t>
        </is>
      </c>
      <c r="B10" s="1353" t="inlineStr">
        <is>
          <t>기간제교원 건강보험료</t>
        </is>
      </c>
      <c r="C10" s="1348">
        <f>'자동인식값'!$B$59+'자동인식값'!$B$62</f>
        <v/>
      </c>
      <c r="D10" s="1349" t="n"/>
      <c r="E10" s="1350">
        <f>C10+N(D10)</f>
        <v/>
      </c>
      <c r="F10" s="1351" t="inlineStr">
        <is>
          <t>기간제 개인부담 + 기관부담</t>
        </is>
      </c>
    </row>
    <row r="11">
      <c r="A11" s="1352" t="inlineStr">
        <is>
          <t>기간제교원</t>
        </is>
      </c>
      <c r="B11" s="1353" t="inlineStr">
        <is>
          <t>기간제교원 국민연금</t>
        </is>
      </c>
      <c r="C11" s="1348">
        <f>'자동인식값'!$B$76+'자동인식값'!$B$63</f>
        <v/>
      </c>
      <c r="D11" s="1349" t="n"/>
      <c r="E11" s="1350">
        <f>C11+N(D11)</f>
        <v/>
      </c>
      <c r="F11" s="1351" t="inlineStr">
        <is>
          <t>교육청 개인부담 + 기관부담</t>
        </is>
      </c>
    </row>
    <row r="12">
      <c r="A12" s="1352" t="inlineStr">
        <is>
          <t>기간제교원</t>
        </is>
      </c>
      <c r="B12" s="1353" t="inlineStr">
        <is>
          <t>기간제교원 고용보험</t>
        </is>
      </c>
      <c r="C12" s="1348">
        <f>'자동인식값'!$B$77+'자동인식값'!$B$64</f>
        <v/>
      </c>
      <c r="D12" s="1349" t="n"/>
      <c r="E12" s="1350">
        <f>C12+N(D12)</f>
        <v/>
      </c>
      <c r="F12" s="1351" t="inlineStr">
        <is>
          <t>교육청 개인부담 + 기관부담</t>
        </is>
      </c>
    </row>
    <row r="13">
      <c r="A13" s="1352" t="inlineStr">
        <is>
          <t>기간제교원</t>
        </is>
      </c>
      <c r="B13" s="1353" t="inlineStr">
        <is>
          <t>기간제교원 산재보험</t>
        </is>
      </c>
      <c r="C13" s="1348">
        <f>'자동인식값'!$B$65</f>
        <v/>
      </c>
      <c r="D13" s="1349" t="n"/>
      <c r="E13" s="1350">
        <f>C13+N(D13)</f>
        <v/>
      </c>
      <c r="F13" s="1351" t="inlineStr">
        <is>
          <t>교데통 기관부담금</t>
        </is>
      </c>
    </row>
    <row r="14">
      <c r="A14" s="1354" t="inlineStr">
        <is>
          <t>교육공무직(기타급여4)</t>
        </is>
      </c>
      <c r="B14" s="1355" t="inlineStr">
        <is>
          <t>기타4 건강보험료</t>
        </is>
      </c>
      <c r="C14" s="1348">
        <f>'자동인식값'!$B$82+'자동인식값'!$B$70</f>
        <v/>
      </c>
      <c r="D14" s="1349" t="n"/>
      <c r="E14" s="1350">
        <f>C14+N(D14)</f>
        <v/>
      </c>
      <c r="F14" s="1351" t="inlineStr">
        <is>
          <t>기타4 개인부담(정산 포함) + 기관부담</t>
        </is>
      </c>
    </row>
    <row r="15">
      <c r="A15" s="1354" t="inlineStr">
        <is>
          <t>교육공무직(기타급여4)</t>
        </is>
      </c>
      <c r="B15" s="1355" t="inlineStr">
        <is>
          <t>기타4 국민연금</t>
        </is>
      </c>
      <c r="C15" s="1348">
        <f>'자동인식값'!$B$83+'자동인식값'!$B$71</f>
        <v/>
      </c>
      <c r="D15" s="1349" t="n"/>
      <c r="E15" s="1350">
        <f>C15+N(D15)</f>
        <v/>
      </c>
      <c r="F15" s="1351" t="inlineStr">
        <is>
          <t>기타4 개인부담 + 기관부담</t>
        </is>
      </c>
    </row>
    <row r="16">
      <c r="A16" s="1354" t="inlineStr">
        <is>
          <t>교육공무직(기타급여4)</t>
        </is>
      </c>
      <c r="B16" s="1355" t="inlineStr">
        <is>
          <t>기타4 고용보험</t>
        </is>
      </c>
      <c r="C16" s="1348">
        <f>'자동인식값'!$B$84+'자동인식값'!$B$72</f>
        <v/>
      </c>
      <c r="D16" s="1349" t="n"/>
      <c r="E16" s="1350">
        <f>C16+N(D16)</f>
        <v/>
      </c>
      <c r="F16" s="1351" t="inlineStr">
        <is>
          <t>기타4 개인부담(정산 포함) + 기관부담</t>
        </is>
      </c>
    </row>
    <row r="17">
      <c r="A17" s="1354" t="inlineStr">
        <is>
          <t>교육공무직(기타급여4)</t>
        </is>
      </c>
      <c r="B17" s="1355" t="inlineStr">
        <is>
          <t>기타4 산재보험</t>
        </is>
      </c>
      <c r="C17" s="1348">
        <f>'자동인식값'!$B$73</f>
        <v/>
      </c>
      <c r="D17" s="1349" t="n"/>
      <c r="E17" s="1350">
        <f>C17+N(D17)</f>
        <v/>
      </c>
      <c r="F17" s="1351" t="inlineStr">
        <is>
          <t>교데통 기관부담금</t>
        </is>
      </c>
    </row>
    <row r="18">
      <c r="A18" s="1354" t="inlineStr">
        <is>
          <t>교육공무직(기타급여4)</t>
        </is>
      </c>
      <c r="B18" s="1355" t="inlineStr">
        <is>
          <t>기타4 소득세</t>
        </is>
      </c>
      <c r="C18" s="1348">
        <f>'자동인식값'!$B$80</f>
        <v/>
      </c>
      <c r="D18" s="1349" t="n"/>
      <c r="E18" s="1350">
        <f>C18+N(D18)</f>
        <v/>
      </c>
      <c r="F18" s="1351" t="inlineStr">
        <is>
          <t>교육청 기타4 (중도정산 포함)</t>
        </is>
      </c>
    </row>
    <row r="19">
      <c r="A19" s="1354" t="inlineStr">
        <is>
          <t>교육공무직(기타급여4)</t>
        </is>
      </c>
      <c r="B19" s="1355" t="inlineStr">
        <is>
          <t>기타4 지방소득세</t>
        </is>
      </c>
      <c r="C19" s="1348">
        <f>'자동인식값'!$B$81</f>
        <v/>
      </c>
      <c r="D19" s="1349" t="n"/>
      <c r="E19" s="1350">
        <f>C19+N(D19)</f>
        <v/>
      </c>
      <c r="F19" s="1351" t="inlineStr">
        <is>
          <t>교육청 기타4 (중도정산 포함)</t>
        </is>
      </c>
    </row>
    <row r="20">
      <c r="A20" s="1356" t="n"/>
      <c r="B20" s="1357" t="inlineStr">
        <is>
          <t>수납 합계</t>
        </is>
      </c>
      <c r="C20" s="1358">
        <f>SUM(C7:C19)</f>
        <v/>
      </c>
      <c r="D20" s="1358">
        <f>SUM(D7:D19)</f>
        <v/>
      </c>
      <c r="E20" s="1358">
        <f>SUM(E7:E19)</f>
        <v/>
      </c>
      <c r="F20" s="1356" t="n"/>
    </row>
    <row r="22">
      <c r="A22" s="1344" t="inlineStr">
        <is>
          <t>2. 홈택스 · 위택스 신고금액</t>
        </is>
      </c>
    </row>
    <row r="23" ht="20" customHeight="1" s="554">
      <c r="A23" s="1345" t="inlineStr">
        <is>
          <t>신고처</t>
        </is>
      </c>
      <c r="B23" s="1345" t="inlineStr">
        <is>
          <t>신고 구분</t>
        </is>
      </c>
      <c r="C23" s="1345" t="inlineStr">
        <is>
          <t>금액</t>
        </is>
      </c>
      <c r="D23" s="1345" t="inlineStr">
        <is>
          <t>비고</t>
        </is>
      </c>
      <c r="E23" s="1345" t="inlineStr"/>
      <c r="F23" s="1345" t="inlineStr"/>
    </row>
    <row r="24">
      <c r="A24" s="1359" t="inlineStr">
        <is>
          <t>홈택스</t>
        </is>
      </c>
      <c r="B24" s="1360" t="inlineStr">
        <is>
          <t>근로소득 소득세</t>
        </is>
      </c>
      <c r="C24" s="1361">
        <f>'자동인식값'!$B$49+'자동인식값'!$B$57</f>
        <v/>
      </c>
      <c r="D24" s="1351" t="inlineStr">
        <is>
          <t>공무원·기간제 + 교육공무직</t>
        </is>
      </c>
      <c r="E24" s="1356" t="n"/>
      <c r="F24" s="1356" t="n"/>
    </row>
    <row r="25">
      <c r="A25" s="1359" t="inlineStr">
        <is>
          <t>홈택스</t>
        </is>
      </c>
      <c r="B25" s="1360" t="inlineStr">
        <is>
          <t>사업소득 소득세</t>
        </is>
      </c>
      <c r="C25" s="1349" t="n"/>
      <c r="D25" s="1351" t="inlineStr">
        <is>
          <t>사업소득자가 있으면 직접 입력</t>
        </is>
      </c>
      <c r="E25" s="1356" t="n"/>
      <c r="F25" s="1356" t="n"/>
    </row>
    <row r="26">
      <c r="A26" s="1359" t="inlineStr">
        <is>
          <t>홈택스</t>
        </is>
      </c>
      <c r="B26" s="1360" t="inlineStr">
        <is>
          <t>신고·납부 합계</t>
        </is>
      </c>
      <c r="C26" s="1358">
        <f>C24+N(C25)</f>
        <v/>
      </c>
      <c r="D26" s="1351" t="inlineStr">
        <is>
          <t>위 두 금액 합계</t>
        </is>
      </c>
      <c r="E26" s="1356" t="n"/>
      <c r="F26" s="1356" t="n"/>
    </row>
    <row r="27">
      <c r="A27" s="1359" t="inlineStr">
        <is>
          <t>위택스</t>
        </is>
      </c>
      <c r="B27" s="1360" t="inlineStr">
        <is>
          <t>근로소득 지방소득세</t>
        </is>
      </c>
      <c r="C27" s="1361">
        <f>'자동인식값'!$B$50+'자동인식값'!$B$58</f>
        <v/>
      </c>
      <c r="D27" s="1351" t="inlineStr">
        <is>
          <t>공무원·기간제 + 교육공무직</t>
        </is>
      </c>
      <c r="E27" s="1356" t="n"/>
      <c r="F27" s="1356" t="n"/>
    </row>
    <row r="28">
      <c r="A28" s="1359" t="inlineStr">
        <is>
          <t>위택스</t>
        </is>
      </c>
      <c r="B28" s="1360" t="inlineStr">
        <is>
          <t>사업소득 지방소득세</t>
        </is>
      </c>
      <c r="C28" s="1349" t="n"/>
      <c r="D28" s="1351" t="inlineStr">
        <is>
          <t>사업소득자가 있으면 직접 입력</t>
        </is>
      </c>
      <c r="E28" s="1356" t="n"/>
      <c r="F28" s="1356" t="n"/>
    </row>
    <row r="29">
      <c r="A29" s="1359" t="inlineStr">
        <is>
          <t>위택스</t>
        </is>
      </c>
      <c r="B29" s="1360" t="inlineStr">
        <is>
          <t>신고·납부 합계</t>
        </is>
      </c>
      <c r="C29" s="1358">
        <f>C27+N(C28)</f>
        <v/>
      </c>
      <c r="D29" s="1351" t="inlineStr">
        <is>
          <t>위 두 금액 합계</t>
        </is>
      </c>
      <c r="E29" s="1356" t="n"/>
      <c r="F29" s="1356" t="n"/>
    </row>
    <row r="31">
      <c r="A31" s="1344" t="inlineStr">
        <is>
          <t>3. 총액 검증 — 수납할 금액과 교육청·교데통에서 들어올 금액이 같아야 합니다</t>
        </is>
      </c>
    </row>
    <row r="32" ht="20" customHeight="1" s="554">
      <c r="A32" s="1345" t="inlineStr">
        <is>
          <t>구분</t>
        </is>
      </c>
      <c r="B32" s="1345" t="inlineStr">
        <is>
          <t>금액</t>
        </is>
      </c>
      <c r="C32" s="1345" t="inlineStr">
        <is>
          <t>내역</t>
        </is>
      </c>
      <c r="D32" s="1345" t="inlineStr"/>
      <c r="E32" s="1345" t="inlineStr"/>
      <c r="F32" s="1345" t="inlineStr"/>
    </row>
    <row r="33">
      <c r="A33" s="1360" t="inlineStr">
        <is>
          <t>수납 예정 총액</t>
        </is>
      </c>
      <c r="B33" s="1348">
        <f>'결과_수납신고'!$E$20</f>
        <v/>
      </c>
      <c r="C33" s="1351" t="inlineStr">
        <is>
          <t>위 1번 표의 최종 수납액 합계</t>
        </is>
      </c>
      <c r="D33" s="1356" t="n"/>
      <c r="E33" s="1356" t="n"/>
      <c r="F33" s="1356" t="n"/>
    </row>
    <row r="34">
      <c r="A34" s="1360" t="inlineStr">
        <is>
          <t>입금 예정 총액</t>
        </is>
      </c>
      <c r="B34" s="1348">
        <f>'자동인식값'!$B$79+'자동인식값'!$B$85+'자동인식값'!$B$66+'자동인식값'!$B$74</f>
        <v/>
      </c>
      <c r="C34" s="1351" t="inlineStr">
        <is>
          <t>교육청 교직원 + 교육청 기타4 개인 + 교데통 기간제·기타4 기관부담금</t>
        </is>
      </c>
      <c r="D34" s="1356" t="n"/>
      <c r="E34" s="1356" t="n"/>
      <c r="F34" s="1356" t="n"/>
    </row>
    <row r="35">
      <c r="A35" s="1357" t="inlineStr">
        <is>
          <t>차액</t>
        </is>
      </c>
      <c r="B35" s="1358">
        <f>B33-B34</f>
        <v/>
      </c>
      <c r="C35" s="1362">
        <f>IF(AND(B33=0,B34=0),"자료 대기",IF(ABS(B35)&lt;=1,"● 정상 — 수납액과 입금액이 일치합니다","⚠ 확인 필요 — 세외 수납금액 시트를 확인하세요"))</f>
        <v/>
      </c>
      <c r="D35" s="1356" t="n"/>
      <c r="E35" s="1356" t="n"/>
      <c r="F35" s="1356" t="n"/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 password="A84D"/>
  <mergeCells count="2">
    <mergeCell ref="A3:F3"/>
    <mergeCell ref="A1:F1"/>
  </mergeCells>
  <conditionalFormatting sqref="B35">
    <cfRule type="cellIs" priority="1" operator="notEqual" dxfId="35">
      <formula>0</formula>
    </cfRule>
    <cfRule type="cellIs" priority="2" operator="equal" dxfId="33">
      <formula>0</formula>
    </cfRule>
  </conditionalFormatting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H53"/>
  <sheetViews>
    <sheetView showGridLines="0" workbookViewId="0">
      <pane ySplit="6" topLeftCell="A7" activePane="bottomLeft" state="frozen"/>
      <selection pane="bottomLeft" activeCell="A1" sqref="A1"/>
    </sheetView>
  </sheetViews>
  <sheetFormatPr baseColWidth="8" defaultRowHeight="15"/>
  <cols>
    <col width="24" customWidth="1" style="554" min="1" max="1"/>
    <col width="22" customWidth="1" style="554" min="2" max="2"/>
    <col width="16" customWidth="1" style="554" min="3" max="3"/>
    <col width="18" customWidth="1" style="554" min="4" max="4"/>
    <col width="16" customWidth="1" style="554" min="5" max="5"/>
    <col width="14" customWidth="1" style="554" min="6" max="6"/>
    <col width="12" customWidth="1" style="554" min="7" max="7"/>
    <col width="44" customWidth="1" style="554" min="8" max="8"/>
  </cols>
  <sheetData>
    <row r="1" ht="26" customHeight="1" s="554">
      <c r="A1" s="1317" t="inlineStr">
        <is>
          <t>세외 수납금액 — 부담 주체별 명세와 금액 확인</t>
        </is>
      </c>
      <c r="B1" s="1320" t="n"/>
      <c r="C1" s="1320" t="n"/>
      <c r="D1" s="1320" t="n"/>
      <c r="E1" s="1320" t="n"/>
      <c r="F1" s="1320" t="n"/>
      <c r="G1" s="1320" t="n"/>
      <c r="H1" s="1320" t="n"/>
    </row>
    <row r="3">
      <c r="A3" s="1343">
        <f>"학교: "&amp;'파일넣기'!$D$7&amp;"    귀속: "&amp;'파일넣기'!$D$9</f>
        <v/>
      </c>
      <c r="B3" s="1371" t="n"/>
      <c r="C3" s="1371" t="n"/>
      <c r="D3" s="1371" t="n"/>
      <c r="E3" s="1371" t="n"/>
    </row>
    <row r="5">
      <c r="A5" s="1344" t="inlineStr">
        <is>
          <t>1. 부담 주체별 세외 수납금액</t>
        </is>
      </c>
    </row>
    <row r="6" ht="20" customHeight="1" s="554">
      <c r="A6" s="1345" t="inlineStr">
        <is>
          <t>구분</t>
        </is>
      </c>
      <c r="B6" s="1345" t="inlineStr">
        <is>
          <t>개인부담금</t>
        </is>
      </c>
      <c r="C6" s="1345" t="inlineStr">
        <is>
          <t>기관부담금</t>
        </is>
      </c>
      <c r="D6" s="1345" t="inlineStr">
        <is>
          <t>계</t>
        </is>
      </c>
      <c r="E6" s="1345" t="inlineStr"/>
    </row>
    <row r="7">
      <c r="A7" s="1347" t="inlineStr">
        <is>
          <t>공무원(교직원)</t>
        </is>
      </c>
      <c r="B7" s="1348">
        <f>SUM(C14:C16)</f>
        <v/>
      </c>
      <c r="C7" s="1348">
        <f>SUM(D14:D16)</f>
        <v/>
      </c>
      <c r="D7" s="1350">
        <f>B7+C7</f>
        <v/>
      </c>
      <c r="E7" s="1356" t="n"/>
    </row>
    <row r="8">
      <c r="A8" s="1353" t="inlineStr">
        <is>
          <t>기간제교원</t>
        </is>
      </c>
      <c r="B8" s="1348">
        <f>SUM(C17:C20)</f>
        <v/>
      </c>
      <c r="C8" s="1348">
        <f>SUM(D17:D20)</f>
        <v/>
      </c>
      <c r="D8" s="1350">
        <f>B8+C8</f>
        <v/>
      </c>
      <c r="E8" s="1356" t="n"/>
    </row>
    <row r="9">
      <c r="A9" s="1355" t="inlineStr">
        <is>
          <t>교육공무직(기타급여4)</t>
        </is>
      </c>
      <c r="B9" s="1348">
        <f>SUM(C21:C26)</f>
        <v/>
      </c>
      <c r="C9" s="1348">
        <f>SUM(D21:D26)</f>
        <v/>
      </c>
      <c r="D9" s="1350">
        <f>B9+C9</f>
        <v/>
      </c>
      <c r="E9" s="1356" t="n"/>
    </row>
    <row r="10">
      <c r="A10" s="1357" t="inlineStr">
        <is>
          <t>합계</t>
        </is>
      </c>
      <c r="B10" s="1358">
        <f>SUM(B7:B9)</f>
        <v/>
      </c>
      <c r="C10" s="1358">
        <f>SUM(C7:C9)</f>
        <v/>
      </c>
      <c r="D10" s="1358">
        <f>SUM(D7:D9)</f>
        <v/>
      </c>
      <c r="E10" s="1356" t="n"/>
    </row>
    <row r="12">
      <c r="A12" s="1344" t="inlineStr">
        <is>
          <t>2. 항목별 세외 수납금액 명세</t>
        </is>
      </c>
    </row>
    <row r="13" ht="20" customHeight="1" s="554">
      <c r="A13" s="1345" t="inlineStr">
        <is>
          <t>구분</t>
        </is>
      </c>
      <c r="B13" s="1345" t="inlineStr">
        <is>
          <t>항목</t>
        </is>
      </c>
      <c r="C13" s="1345" t="inlineStr">
        <is>
          <t>개인부담금</t>
        </is>
      </c>
      <c r="D13" s="1345" t="inlineStr">
        <is>
          <t>기관부담금</t>
        </is>
      </c>
      <c r="E13" s="1345" t="inlineStr">
        <is>
          <t>계</t>
        </is>
      </c>
    </row>
    <row r="14">
      <c r="A14" s="1347" t="inlineStr">
        <is>
          <t>공무원(교직원)</t>
        </is>
      </c>
      <c r="B14" s="1347" t="inlineStr">
        <is>
          <t>건강보험·장기요양</t>
        </is>
      </c>
      <c r="C14" s="1348">
        <f>MAX(0,'자동인식값'!$B$75-'자동인식값'!$B$59)</f>
        <v/>
      </c>
      <c r="D14" s="1363" t="n">
        <v>0</v>
      </c>
      <c r="E14" s="1350">
        <f>C14+D14</f>
        <v/>
      </c>
    </row>
    <row r="15">
      <c r="A15" s="1347" t="inlineStr">
        <is>
          <t>공무원(교직원)</t>
        </is>
      </c>
      <c r="B15" s="1347" t="inlineStr">
        <is>
          <t>소득세</t>
        </is>
      </c>
      <c r="C15" s="1348">
        <f>'자동인식값'!$B$49</f>
        <v/>
      </c>
      <c r="D15" s="1363" t="n">
        <v>0</v>
      </c>
      <c r="E15" s="1350">
        <f>C15+D15</f>
        <v/>
      </c>
    </row>
    <row r="16">
      <c r="A16" s="1347" t="inlineStr">
        <is>
          <t>공무원(교직원)</t>
        </is>
      </c>
      <c r="B16" s="1347" t="inlineStr">
        <is>
          <t>지방소득세</t>
        </is>
      </c>
      <c r="C16" s="1348">
        <f>'자동인식값'!$B$50</f>
        <v/>
      </c>
      <c r="D16" s="1363" t="n">
        <v>0</v>
      </c>
      <c r="E16" s="1350">
        <f>C16+D16</f>
        <v/>
      </c>
    </row>
    <row r="17">
      <c r="A17" s="1353" t="inlineStr">
        <is>
          <t>기간제교원</t>
        </is>
      </c>
      <c r="B17" s="1353" t="inlineStr">
        <is>
          <t>건강보험·장기요양</t>
        </is>
      </c>
      <c r="C17" s="1348">
        <f>'자동인식값'!$B$59</f>
        <v/>
      </c>
      <c r="D17" s="1348">
        <f>'자동인식값'!$B$62</f>
        <v/>
      </c>
      <c r="E17" s="1350">
        <f>C17+D17</f>
        <v/>
      </c>
    </row>
    <row r="18">
      <c r="A18" s="1353" t="inlineStr">
        <is>
          <t>기간제교원</t>
        </is>
      </c>
      <c r="B18" s="1353" t="inlineStr">
        <is>
          <t>국민연금</t>
        </is>
      </c>
      <c r="C18" s="1348">
        <f>'자동인식값'!$B$60</f>
        <v/>
      </c>
      <c r="D18" s="1348">
        <f>'자동인식값'!$B$63</f>
        <v/>
      </c>
      <c r="E18" s="1350">
        <f>C18+D18</f>
        <v/>
      </c>
    </row>
    <row r="19">
      <c r="A19" s="1353" t="inlineStr">
        <is>
          <t>기간제교원</t>
        </is>
      </c>
      <c r="B19" s="1353" t="inlineStr">
        <is>
          <t>고용보험</t>
        </is>
      </c>
      <c r="C19" s="1348">
        <f>'자동인식값'!$B$61</f>
        <v/>
      </c>
      <c r="D19" s="1348">
        <f>'자동인식값'!$B$64</f>
        <v/>
      </c>
      <c r="E19" s="1350">
        <f>C19+D19</f>
        <v/>
      </c>
    </row>
    <row r="20">
      <c r="A20" s="1353" t="inlineStr">
        <is>
          <t>기간제교원</t>
        </is>
      </c>
      <c r="B20" s="1353" t="inlineStr">
        <is>
          <t>산재보험</t>
        </is>
      </c>
      <c r="C20" s="1363" t="n">
        <v>0</v>
      </c>
      <c r="D20" s="1348">
        <f>'자동인식값'!$B$65</f>
        <v/>
      </c>
      <c r="E20" s="1350">
        <f>C20+D20</f>
        <v/>
      </c>
    </row>
    <row r="21">
      <c r="A21" s="1355" t="inlineStr">
        <is>
          <t>교육공무직(기타급여4)</t>
        </is>
      </c>
      <c r="B21" s="1355" t="inlineStr">
        <is>
          <t>건강보험·장기요양</t>
        </is>
      </c>
      <c r="C21" s="1348">
        <f>'자동인식값'!$B$82</f>
        <v/>
      </c>
      <c r="D21" s="1348">
        <f>'자동인식값'!$B$70</f>
        <v/>
      </c>
      <c r="E21" s="1350">
        <f>C21+D21</f>
        <v/>
      </c>
    </row>
    <row r="22">
      <c r="A22" s="1355" t="inlineStr">
        <is>
          <t>교육공무직(기타급여4)</t>
        </is>
      </c>
      <c r="B22" s="1355" t="inlineStr">
        <is>
          <t>국민연금</t>
        </is>
      </c>
      <c r="C22" s="1348">
        <f>'자동인식값'!$B$83</f>
        <v/>
      </c>
      <c r="D22" s="1348">
        <f>'자동인식값'!$B$71</f>
        <v/>
      </c>
      <c r="E22" s="1350">
        <f>C22+D22</f>
        <v/>
      </c>
    </row>
    <row r="23">
      <c r="A23" s="1355" t="inlineStr">
        <is>
          <t>교육공무직(기타급여4)</t>
        </is>
      </c>
      <c r="B23" s="1355" t="inlineStr">
        <is>
          <t>고용보험</t>
        </is>
      </c>
      <c r="C23" s="1348">
        <f>'자동인식값'!$B$84</f>
        <v/>
      </c>
      <c r="D23" s="1348">
        <f>'자동인식값'!$B$72</f>
        <v/>
      </c>
      <c r="E23" s="1350">
        <f>C23+D23</f>
        <v/>
      </c>
    </row>
    <row r="24">
      <c r="A24" s="1355" t="inlineStr">
        <is>
          <t>교육공무직(기타급여4)</t>
        </is>
      </c>
      <c r="B24" s="1355" t="inlineStr">
        <is>
          <t>산재보험</t>
        </is>
      </c>
      <c r="C24" s="1363" t="n">
        <v>0</v>
      </c>
      <c r="D24" s="1348">
        <f>'자동인식값'!$B$73</f>
        <v/>
      </c>
      <c r="E24" s="1350">
        <f>C24+D24</f>
        <v/>
      </c>
    </row>
    <row r="25">
      <c r="A25" s="1355" t="inlineStr">
        <is>
          <t>교육공무직(기타급여4)</t>
        </is>
      </c>
      <c r="B25" s="1355" t="inlineStr">
        <is>
          <t>소득세</t>
        </is>
      </c>
      <c r="C25" s="1348">
        <f>'자동인식값'!$B$80</f>
        <v/>
      </c>
      <c r="D25" s="1363" t="n">
        <v>0</v>
      </c>
      <c r="E25" s="1350">
        <f>C25+D25</f>
        <v/>
      </c>
    </row>
    <row r="26">
      <c r="A26" s="1355" t="inlineStr">
        <is>
          <t>교육공무직(기타급여4)</t>
        </is>
      </c>
      <c r="B26" s="1355" t="inlineStr">
        <is>
          <t>지방소득세</t>
        </is>
      </c>
      <c r="C26" s="1348">
        <f>'자동인식값'!$B$81</f>
        <v/>
      </c>
      <c r="D26" s="1363" t="n">
        <v>0</v>
      </c>
      <c r="E26" s="1350">
        <f>C26+D26</f>
        <v/>
      </c>
    </row>
    <row r="27">
      <c r="A27" s="1357" t="inlineStr">
        <is>
          <t>합계</t>
        </is>
      </c>
      <c r="B27" s="1356" t="n"/>
      <c r="C27" s="1358">
        <f>SUM(C14:C26)</f>
        <v/>
      </c>
      <c r="D27" s="1358">
        <f>SUM(D14:D26)</f>
        <v/>
      </c>
      <c r="E27" s="1358">
        <f>SUM(E14:E26)</f>
        <v/>
      </c>
    </row>
    <row r="29">
      <c r="A29" s="1344" t="inlineStr">
        <is>
          <t>3. 세외 수납금액과 입금 예정액 확인</t>
        </is>
      </c>
    </row>
    <row r="30" ht="20" customHeight="1" s="554">
      <c r="A30" s="1345" t="inlineStr">
        <is>
          <t>구분</t>
        </is>
      </c>
      <c r="B30" s="1345" t="inlineStr">
        <is>
          <t>금액</t>
        </is>
      </c>
      <c r="C30" s="1345" t="inlineStr">
        <is>
          <t>내역</t>
        </is>
      </c>
      <c r="D30" s="1345" t="inlineStr"/>
      <c r="E30" s="1345" t="inlineStr"/>
    </row>
    <row r="31">
      <c r="A31" s="1360" t="inlineStr">
        <is>
          <t>세외 수납금액 합계</t>
        </is>
      </c>
      <c r="B31" s="1348">
        <f>D10</f>
        <v/>
      </c>
      <c r="C31" s="1351" t="inlineStr">
        <is>
          <t>위 1·2번 표의 합계</t>
        </is>
      </c>
      <c r="D31" s="1356" t="n"/>
      <c r="E31" s="1356" t="n"/>
    </row>
    <row r="32">
      <c r="A32" s="1360" t="inlineStr">
        <is>
          <t>입금 예정액 합계</t>
        </is>
      </c>
      <c r="B32" s="1348">
        <f>'자동인식값'!$B$79+'자동인식값'!$B$85+'자동인식값'!$B$66+'자동인식값'!$B$74</f>
        <v/>
      </c>
      <c r="C32" s="1351" t="inlineStr">
        <is>
          <t>교육청 교직원 + 교육청 기타4 개인 + 교데통 기간제·기타4 기관부담금</t>
        </is>
      </c>
      <c r="D32" s="1356" t="n"/>
      <c r="E32" s="1356" t="n"/>
    </row>
    <row r="33">
      <c r="A33" s="1357" t="inlineStr">
        <is>
          <t>차액</t>
        </is>
      </c>
      <c r="B33" s="1350">
        <f>B31-B32</f>
        <v/>
      </c>
      <c r="C33" s="1362">
        <f>IF(AND(B31=0,B32=0),"자료 대기",IF(ABS(B33)&lt;=1,"● 정상 — 세외 수납금액과 입금액이 일치합니다","⚠ 확인 필요 — 아래 4번 표에서 차액이 있는 줄을 확인하세요"))</f>
        <v/>
      </c>
      <c r="D33" s="1356" t="n"/>
      <c r="E33" s="1356" t="n"/>
    </row>
    <row r="35">
      <c r="A35" s="1344" t="inlineStr">
        <is>
          <t>4. 원본 자료별 금액 확인</t>
        </is>
      </c>
    </row>
    <row r="36" ht="20" customHeight="1" s="554">
      <c r="A36" s="1324" t="inlineStr">
        <is>
          <t>확인 항목</t>
        </is>
      </c>
      <c r="B36" s="1324" t="inlineStr">
        <is>
          <t>자료 A</t>
        </is>
      </c>
      <c r="C36" s="1324" t="inlineStr">
        <is>
          <t>금액 A</t>
        </is>
      </c>
      <c r="D36" s="1324" t="inlineStr">
        <is>
          <t>자료 B</t>
        </is>
      </c>
      <c r="E36" s="1324" t="inlineStr">
        <is>
          <t>금액 B</t>
        </is>
      </c>
      <c r="F36" s="1324" t="inlineStr">
        <is>
          <t>차액</t>
        </is>
      </c>
      <c r="G36" s="1324" t="inlineStr">
        <is>
          <t>상태</t>
        </is>
      </c>
      <c r="H36" s="1324" t="inlineStr">
        <is>
          <t>차이가 날 때 확인할 곳</t>
        </is>
      </c>
    </row>
    <row r="37">
      <c r="A37" s="1364" t="inlineStr">
        <is>
          <t>교직원 건강·장기요양</t>
        </is>
      </c>
      <c r="B37" s="1360" t="inlineStr">
        <is>
          <t>나이스 공무원(계)</t>
        </is>
      </c>
      <c r="C37" s="1348">
        <f>'자동인식값'!$B$51</f>
        <v/>
      </c>
      <c r="D37" s="1360" t="inlineStr">
        <is>
          <t>교육청 교직원</t>
        </is>
      </c>
      <c r="E37" s="1348">
        <f>'자동인식값'!$B$75</f>
        <v/>
      </c>
      <c r="F37" s="1348">
        <f>C37-E37</f>
        <v/>
      </c>
      <c r="G37" s="1365">
        <f>IF(AND(C37=0,E37=0),"자료 대기",IF(ABS(F37)&lt;=1,"정상","확인 필요"))</f>
        <v/>
      </c>
      <c r="H37" s="1366" t="inlineStr">
        <is>
          <t>나이스 급여총괄표와 교육청 발송자료의 귀속월이 같은지</t>
        </is>
      </c>
    </row>
    <row r="38">
      <c r="A38" s="1364" t="inlineStr">
        <is>
          <t>교직원 국민연금</t>
        </is>
      </c>
      <c r="B38" s="1360" t="inlineStr">
        <is>
          <t>나이스 공무원(계)</t>
        </is>
      </c>
      <c r="C38" s="1348">
        <f>'자동인식값'!$B$52</f>
        <v/>
      </c>
      <c r="D38" s="1360" t="inlineStr">
        <is>
          <t>교육청 교직원</t>
        </is>
      </c>
      <c r="E38" s="1348">
        <f>'자동인식값'!$B$76</f>
        <v/>
      </c>
      <c r="F38" s="1348">
        <f>C38-E38</f>
        <v/>
      </c>
      <c r="G38" s="1365">
        <f>IF(AND(C38=0,E38=0),"자료 대기",IF(ABS(F38)&lt;=1,"정상","확인 필요"))</f>
        <v/>
      </c>
      <c r="H38" s="1366" t="inlineStr">
        <is>
          <t>기간제교원 연금 대상자 변동 여부</t>
        </is>
      </c>
    </row>
    <row r="39">
      <c r="A39" s="1364" t="inlineStr">
        <is>
          <t>교직원 고용보험</t>
        </is>
      </c>
      <c r="B39" s="1360" t="inlineStr">
        <is>
          <t>나이스 공무원(계)</t>
        </is>
      </c>
      <c r="C39" s="1348">
        <f>'자동인식값'!$B$53</f>
        <v/>
      </c>
      <c r="D39" s="1360" t="inlineStr">
        <is>
          <t>교육청 교직원</t>
        </is>
      </c>
      <c r="E39" s="1348">
        <f>'자동인식값'!$B$77</f>
        <v/>
      </c>
      <c r="F39" s="1348">
        <f>C39-E39</f>
        <v/>
      </c>
      <c r="G39" s="1365">
        <f>IF(AND(C39=0,E39=0),"자료 대기",IF(ABS(F39)&lt;=1,"정상","확인 필요"))</f>
        <v/>
      </c>
      <c r="H39" s="1366" t="inlineStr">
        <is>
          <t>기간제교원 고용보험 대상자 변동 여부</t>
        </is>
      </c>
    </row>
    <row r="40">
      <c r="A40" s="1364" t="inlineStr">
        <is>
          <t>교직원 원천세</t>
        </is>
      </c>
      <c r="B40" s="1360" t="inlineStr">
        <is>
          <t>나이스 소득세+지방소득세</t>
        </is>
      </c>
      <c r="C40" s="1348">
        <f>'자동인식값'!$B$49+'자동인식값'!$B$50</f>
        <v/>
      </c>
      <c r="D40" s="1360" t="inlineStr">
        <is>
          <t>교육청 원천세</t>
        </is>
      </c>
      <c r="E40" s="1348">
        <f>'자동인식값'!$B$78</f>
        <v/>
      </c>
      <c r="F40" s="1348">
        <f>C40-E40</f>
        <v/>
      </c>
      <c r="G40" s="1365">
        <f>IF(AND(C40=0,E40=0),"자료 대기",IF(ABS(F40)&lt;=1,"정상","확인 필요"))</f>
        <v/>
      </c>
      <c r="H40" s="1366" t="inlineStr">
        <is>
          <t>중도퇴직 정산·연말정산 반영 여부</t>
        </is>
      </c>
    </row>
    <row r="41">
      <c r="A41" s="1367" t="inlineStr">
        <is>
          <t>기간제 개인 건강·장기</t>
        </is>
      </c>
      <c r="B41" s="1360" t="inlineStr">
        <is>
          <t>나이스 기간제교원</t>
        </is>
      </c>
      <c r="C41" s="1348">
        <f>'자동인식값'!$B$54</f>
        <v/>
      </c>
      <c r="D41" s="1360" t="inlineStr">
        <is>
          <t>교데통 기간제</t>
        </is>
      </c>
      <c r="E41" s="1348">
        <f>'자동인식값'!$B$59</f>
        <v/>
      </c>
      <c r="F41" s="1348">
        <f>C41-E41</f>
        <v/>
      </c>
      <c r="G41" s="1365">
        <f>IF(AND(C41=0,E41=0),"자료 대기",IF(ABS(F41)&lt;=1,"정상","확인 필요"))</f>
        <v/>
      </c>
      <c r="H41" s="1366" t="inlineStr">
        <is>
          <t>교데통 신청 대상 인원과 나이스 인원 일치 여부</t>
        </is>
      </c>
    </row>
    <row r="42">
      <c r="A42" s="1367" t="inlineStr">
        <is>
          <t>기간제 개인 국민연금</t>
        </is>
      </c>
      <c r="B42" s="1360" t="inlineStr">
        <is>
          <t>나이스 기간제교원</t>
        </is>
      </c>
      <c r="C42" s="1348">
        <f>'자동인식값'!$B$55</f>
        <v/>
      </c>
      <c r="D42" s="1360" t="inlineStr">
        <is>
          <t>교데통 기간제</t>
        </is>
      </c>
      <c r="E42" s="1348">
        <f>'자동인식값'!$B$60</f>
        <v/>
      </c>
      <c r="F42" s="1348">
        <f>C42-E42</f>
        <v/>
      </c>
      <c r="G42" s="1365">
        <f>IF(AND(C42=0,E42=0),"자료 대기",IF(ABS(F42)&lt;=1,"정상","확인 필요"))</f>
        <v/>
      </c>
      <c r="H42" s="1366" t="inlineStr">
        <is>
          <t>교데통 신청 누락 여부</t>
        </is>
      </c>
    </row>
    <row r="43">
      <c r="A43" s="1367" t="inlineStr">
        <is>
          <t>기간제 개인 고용보험</t>
        </is>
      </c>
      <c r="B43" s="1360" t="inlineStr">
        <is>
          <t>나이스 기간제교원</t>
        </is>
      </c>
      <c r="C43" s="1348">
        <f>'자동인식값'!$B$56</f>
        <v/>
      </c>
      <c r="D43" s="1360" t="inlineStr">
        <is>
          <t>교데통 기간제</t>
        </is>
      </c>
      <c r="E43" s="1348">
        <f>'자동인식값'!$B$61</f>
        <v/>
      </c>
      <c r="F43" s="1348">
        <f>C43-E43</f>
        <v/>
      </c>
      <c r="G43" s="1365">
        <f>IF(AND(C43=0,E43=0),"자료 대기",IF(ABS(F43)&lt;=1,"정상","확인 필요"))</f>
        <v/>
      </c>
      <c r="H43" s="1366" t="inlineStr">
        <is>
          <t>교데통 신청 누락 여부</t>
        </is>
      </c>
    </row>
    <row r="44">
      <c r="A44" s="1368" t="inlineStr">
        <is>
          <t>기타4 개인 건강·장기</t>
        </is>
      </c>
      <c r="B44" s="1360" t="inlineStr">
        <is>
          <t>교데통 기타4</t>
        </is>
      </c>
      <c r="C44" s="1348">
        <f>'자동인식값'!$B$67</f>
        <v/>
      </c>
      <c r="D44" s="1360" t="inlineStr">
        <is>
          <t>교육청 기타4</t>
        </is>
      </c>
      <c r="E44" s="1348">
        <f>'자동인식값'!$B$82</f>
        <v/>
      </c>
      <c r="F44" s="1348">
        <f>C44-E44</f>
        <v/>
      </c>
      <c r="G44" s="1365">
        <f>IF(AND(C44=0,E44=0),"자료 대기",IF(ABS(F44)&lt;=1,"정상","확인 필요"))</f>
        <v/>
      </c>
      <c r="H44" s="1366" t="inlineStr">
        <is>
          <t>퇴직·휴직 정산분이 한쪽에만 반영됐는지</t>
        </is>
      </c>
    </row>
    <row r="45">
      <c r="A45" s="1368" t="inlineStr">
        <is>
          <t>기타4 개인 국민연금</t>
        </is>
      </c>
      <c r="B45" s="1360" t="inlineStr">
        <is>
          <t>교데통 기타4</t>
        </is>
      </c>
      <c r="C45" s="1348">
        <f>'자동인식값'!$B$68</f>
        <v/>
      </c>
      <c r="D45" s="1360" t="inlineStr">
        <is>
          <t>교육청 기타4</t>
        </is>
      </c>
      <c r="E45" s="1348">
        <f>'자동인식값'!$B$83</f>
        <v/>
      </c>
      <c r="F45" s="1348">
        <f>C45-E45</f>
        <v/>
      </c>
      <c r="G45" s="1365">
        <f>IF(AND(C45=0,E45=0),"자료 대기",IF(ABS(F45)&lt;=1,"정상","확인 필요"))</f>
        <v/>
      </c>
      <c r="H45" s="1366" t="inlineStr">
        <is>
          <t>교데통 신청 대상 직종 누락 여부</t>
        </is>
      </c>
    </row>
    <row r="46">
      <c r="A46" s="1368" t="inlineStr">
        <is>
          <t>기타4 개인 고용보험</t>
        </is>
      </c>
      <c r="B46" s="1360" t="inlineStr">
        <is>
          <t>교데통 기타4</t>
        </is>
      </c>
      <c r="C46" s="1348">
        <f>'자동인식값'!$B$69</f>
        <v/>
      </c>
      <c r="D46" s="1360" t="inlineStr">
        <is>
          <t>교육청 기타4</t>
        </is>
      </c>
      <c r="E46" s="1348">
        <f>'자동인식값'!$B$84</f>
        <v/>
      </c>
      <c r="F46" s="1348">
        <f>C46-E46</f>
        <v/>
      </c>
      <c r="G46" s="1365">
        <f>IF(AND(C46=0,E46=0),"자료 대기",IF(ABS(F46)&lt;=1,"정상","확인 필요"))</f>
        <v/>
      </c>
      <c r="H46" s="1366" t="inlineStr">
        <is>
          <t>고용보험 퇴직정산분 반영 여부</t>
        </is>
      </c>
    </row>
    <row r="47">
      <c r="A47" s="1368" t="inlineStr">
        <is>
          <t>기타4 소득세</t>
        </is>
      </c>
      <c r="B47" s="1360" t="inlineStr">
        <is>
          <t>나이스 교육공무직</t>
        </is>
      </c>
      <c r="C47" s="1348">
        <f>'자동인식값'!$B$57</f>
        <v/>
      </c>
      <c r="D47" s="1360" t="inlineStr">
        <is>
          <t>교육청 기타4</t>
        </is>
      </c>
      <c r="E47" s="1348">
        <f>'자동인식값'!$B$80</f>
        <v/>
      </c>
      <c r="F47" s="1348">
        <f>C47-E47</f>
        <v/>
      </c>
      <c r="G47" s="1365">
        <f>IF(AND(C47=0,E47=0),"자료 대기",IF(ABS(F47)&lt;=1,"정상","참고 확인"))</f>
        <v/>
      </c>
      <c r="H47" s="1366" t="inlineStr">
        <is>
          <t>기타급여4 대상이 아닌 직종이 있으면 차이가 날 수 있음</t>
        </is>
      </c>
    </row>
    <row r="48">
      <c r="A48" s="1368" t="inlineStr">
        <is>
          <t>기타4 지방소득세</t>
        </is>
      </c>
      <c r="B48" s="1360" t="inlineStr">
        <is>
          <t>나이스 교육공무직</t>
        </is>
      </c>
      <c r="C48" s="1348">
        <f>'자동인식값'!$B$58</f>
        <v/>
      </c>
      <c r="D48" s="1360" t="inlineStr">
        <is>
          <t>교육청 기타4</t>
        </is>
      </c>
      <c r="E48" s="1348">
        <f>'자동인식값'!$B$81</f>
        <v/>
      </c>
      <c r="F48" s="1348">
        <f>C48-E48</f>
        <v/>
      </c>
      <c r="G48" s="1365">
        <f>IF(AND(C48=0,E48=0),"자료 대기",IF(ABS(F48)&lt;=1,"정상","참고 확인"))</f>
        <v/>
      </c>
      <c r="H48" s="1366" t="inlineStr">
        <is>
          <t>기타급여4 대상이 아닌 직종이 있으면 차이가 날 수 있음</t>
        </is>
      </c>
    </row>
    <row r="50">
      <c r="A50" s="1323" t="inlineStr">
        <is>
          <t>※ '확인 필요'가 뜨면 두 자료의 귀속월이 다르거나, 교데통 신청에서 빠진 인원이 있거나, 정산분이 한쪽에만 반영된 경우가 대부분입니다.
※ '참고 확인'은 기타급여4 대상 직종이 아닌 교육공무직원이 있으면 정상적으로 차이가 납니다.
※ 특이 정산으로 금액을 조정해야 하면 결과_수납신고 시트의 노란색 '수동 조정' 칸에 입력하세요.</t>
        </is>
      </c>
      <c r="B50" s="1320" t="n"/>
      <c r="C50" s="1320" t="n"/>
      <c r="D50" s="1320" t="n"/>
      <c r="E50" s="1320" t="n"/>
      <c r="F50" s="1320" t="n"/>
      <c r="G50" s="1320" t="n"/>
      <c r="H50" s="1320" t="n"/>
    </row>
    <row r="51">
      <c r="A51" s="1320" t="n"/>
      <c r="H51" s="1320" t="n"/>
    </row>
    <row r="52">
      <c r="A52" s="1320" t="n"/>
      <c r="H52" s="1320" t="n"/>
    </row>
    <row r="53">
      <c r="A53" s="1320" t="n"/>
      <c r="B53" s="1320" t="n"/>
      <c r="C53" s="1320" t="n"/>
      <c r="D53" s="1320" t="n"/>
      <c r="E53" s="1320" t="n"/>
      <c r="F53" s="1320" t="n"/>
      <c r="G53" s="1320" t="n"/>
      <c r="H53" s="1320" t="n"/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 password="A84D"/>
  <mergeCells count="3">
    <mergeCell ref="A50:H53"/>
    <mergeCell ref="A3:E3"/>
    <mergeCell ref="A1:H1"/>
  </mergeCells>
  <conditionalFormatting sqref="G37:G48">
    <cfRule type="cellIs" priority="1" operator="equal" dxfId="35">
      <formula>"확인 필요"</formula>
    </cfRule>
    <cfRule type="cellIs" priority="2" operator="equal" dxfId="36">
      <formula>"참고 확인"</formula>
    </cfRule>
    <cfRule type="cellIs" priority="3" operator="equal" dxfId="33">
      <formula>"정상"</formula>
    </cfRule>
  </conditionalFormatting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tabColor rgb="00BDD7EE"/>
    <outlinePr summaryBelow="1" summaryRight="1"/>
    <pageSetUpPr/>
  </sheetPr>
  <dimension ref="AB1:AB1"/>
  <sheetViews>
    <sheetView showGridLines="1" workbookViewId="0">
      <selection activeCell="A1" sqref="A1"/>
    </sheetView>
  </sheetViews>
  <sheetFormatPr baseColWidth="8" defaultRowHeight="15"/>
  <cols>
    <col width="26" customWidth="1" style="554" min="1" max="1"/>
  </cols>
  <sheetData>
    <row r="1">
      <c r="AB1" s="1369" t="inlineStr">
        <is>
          <t>【이 시트 사용법】
원본 파일을 열어 Ctrl+A → Ctrl+C 한 뒤 이 시트의 A1 셀에 붙여넣으세요.
새 달에는 전체 선택 후 Delete 하고 다시 붙여넣습니다.
출처: 나이스 &gt; 공무원급여 &gt; 급여대장 &gt; 급여총괄표</t>
        </is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tabColor rgb="00BDD7EE"/>
    <outlinePr summaryBelow="1" summaryRight="1"/>
    <pageSetUpPr/>
  </sheetPr>
  <dimension ref="AB1:AB1"/>
  <sheetViews>
    <sheetView showGridLines="1" workbookViewId="0">
      <selection activeCell="A1" sqref="A1"/>
    </sheetView>
  </sheetViews>
  <sheetFormatPr baseColWidth="8" defaultRowHeight="15"/>
  <cols>
    <col width="26" customWidth="1" style="554" min="1" max="1"/>
  </cols>
  <sheetData>
    <row r="1">
      <c r="AB1" s="1369" t="inlineStr">
        <is>
          <t>【이 시트 사용법】
원본 파일을 열어 Ctrl+A → Ctrl+C 한 뒤 이 시트의 A1 셀에 붙여넣으세요.
새 달에는 전체 선택 후 Delete 하고 다시 붙여넣습니다.
출처: 나이스 &gt; 교육공무직급여 &gt; 급여대장 &gt; 급여총괄표</t>
        </is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tabColor rgb="00BDD7EE"/>
    <outlinePr summaryBelow="1" summaryRight="1"/>
    <pageSetUpPr/>
  </sheetPr>
  <dimension ref="AB1:AB1"/>
  <sheetViews>
    <sheetView showGridLines="1" workbookViewId="0">
      <selection activeCell="A1" sqref="A1"/>
    </sheetView>
  </sheetViews>
  <sheetFormatPr baseColWidth="8" defaultRowHeight="15"/>
  <cols>
    <col width="26" customWidth="1" style="554" min="1" max="1"/>
  </cols>
  <sheetData>
    <row r="1">
      <c r="AB1" s="1369" t="inlineStr">
        <is>
          <t>【이 시트 사용법】
원본 파일을 열어 Ctrl+A → Ctrl+C 한 뒤 이 시트의 A1 셀에 붙여넣으세요.
새 달에는 전체 선택 후 Delete 하고 다시 붙여넣습니다.
출처: 교육데이터포털(교데통) &gt; 기간제교원(시간강사 포함) 기관부담금 신청</t>
        </is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tabColor rgb="00BDD7EE"/>
    <outlinePr summaryBelow="1" summaryRight="1"/>
    <pageSetUpPr/>
  </sheetPr>
  <dimension ref="AB1:AB1"/>
  <sheetViews>
    <sheetView showGridLines="1" workbookViewId="0">
      <selection activeCell="A1" sqref="A1"/>
    </sheetView>
  </sheetViews>
  <sheetFormatPr baseColWidth="8" defaultRowHeight="15"/>
  <cols>
    <col width="26" customWidth="1" style="554" min="1" max="1"/>
  </cols>
  <sheetData>
    <row r="1">
      <c r="AB1" s="1369" t="inlineStr">
        <is>
          <t>【이 시트 사용법】
원본 파일을 열어 Ctrl+A → Ctrl+C 한 뒤 이 시트의 A1 셀에 붙여넣으세요.
새 달에는 전체 선택 후 Delete 하고 다시 붙여넣습니다.
출처: 교육데이터포털(교데통) &gt; 교육공무직원(기타급여4) 기관부담금 신청</t>
        </is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tabColor rgb="00BDD7EE"/>
    <outlinePr summaryBelow="1" summaryRight="1"/>
    <pageSetUpPr/>
  </sheetPr>
  <dimension ref="AB1:AB1"/>
  <sheetViews>
    <sheetView showGridLines="1" workbookViewId="0">
      <selection activeCell="A1" sqref="A1"/>
    </sheetView>
  </sheetViews>
  <sheetFormatPr baseColWidth="8" defaultRowHeight="15"/>
  <cols>
    <col width="26" customWidth="1" style="554" min="1" max="1"/>
  </cols>
  <sheetData>
    <row r="1">
      <c r="AB1" s="1369" t="inlineStr">
        <is>
          <t>【이 시트 사용법】
원본 파일을 열어 Ctrl+A → Ctrl+C 한 뒤 이 시트의 A1 셀에 붙여넣으세요.
새 달에는 전체 선택 후 Delete 하고 다시 붙여넣습니다.
출처: 교육청 매월 8일 발송 &gt; 원천세 및 4대보험(학교발송용)</t>
        </is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tabColor rgb="00BDD7EE"/>
    <outlinePr summaryBelow="1" summaryRight="1"/>
    <pageSetUpPr/>
  </sheetPr>
  <dimension ref="AB1:AB1"/>
  <sheetViews>
    <sheetView showGridLines="1" workbookViewId="0">
      <selection activeCell="A1" sqref="A1"/>
    </sheetView>
  </sheetViews>
  <sheetFormatPr baseColWidth="8" defaultRowHeight="15"/>
  <cols>
    <col width="26" customWidth="1" style="554" min="1" max="1"/>
  </cols>
  <sheetData>
    <row r="1">
      <c r="AB1" s="1369" t="inlineStr">
        <is>
          <t>【이 시트 사용법】
원본 파일을 열어 Ctrl+A → Ctrl+C 한 뒤 이 시트의 A1 셀에 붙여넣으세요.
새 달에는 전체 선택 후 Delete 하고 다시 붙여넣습니다.
출처: 교육청 매월 8일 발송 &gt; 교육공무직원(기타급여4) 원천세 및 개인부담금</t>
        </is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C85"/>
  <sheetViews>
    <sheetView showGridLines="0" workbookViewId="0">
      <pane ySplit="3" topLeftCell="A4" activePane="bottomLeft" state="frozen"/>
      <selection pane="bottomLeft" activeCell="A1" sqref="A1"/>
    </sheetView>
  </sheetViews>
  <sheetFormatPr baseColWidth="8" defaultRowHeight="15"/>
  <cols>
    <col width="34" customWidth="1" style="554" min="1" max="1"/>
    <col width="18" customWidth="1" style="554" min="2" max="2"/>
    <col width="40" customWidth="1" style="554" min="3" max="3"/>
  </cols>
  <sheetData>
    <row r="1" ht="26" customHeight="1" s="554">
      <c r="A1" s="1317" t="inlineStr">
        <is>
          <t>자동 인식 결과 (참고용 — 직접 고칠 필요 없습니다)</t>
        </is>
      </c>
      <c r="B1" s="1320" t="n"/>
      <c r="C1" s="1320" t="n"/>
    </row>
    <row r="3">
      <c r="A3" s="1324" t="inlineStr">
        <is>
          <t>인식 항목</t>
        </is>
      </c>
      <c r="B3" s="1324" t="inlineStr">
        <is>
          <t>인식값</t>
        </is>
      </c>
      <c r="C3" s="1324" t="inlineStr">
        <is>
          <t>설명</t>
        </is>
      </c>
    </row>
    <row r="4">
      <c r="A4" s="1360" t="inlineStr">
        <is>
          <t>[1_나이스_공무원] 머리글행(구분)</t>
        </is>
      </c>
      <c r="B4" s="1360">
        <f>IF(COUNTIF('1_나이스_공무원'!$A$1:$AN$1,"구분")&gt;0,1,IF(COUNTIF('1_나이스_공무원'!$A$2:$AN$2,"구분")&gt;0,2,IF(COUNTIF('1_나이스_공무원'!$A$3:$AN$3,"구분")&gt;0,3,IF(COUNTIF('1_나이스_공무원'!$A$4:$AN$4,"구분")&gt;0,4,IF(COUNTIF('1_나이스_공무원'!$A$5:$AN$5,"구분")&gt;0,5,IF(COUNTIF('1_나이스_공무원'!$A$6:$AN$6,"구분")&gt;0,6,IF(COUNTIF('1_나이스_공무원'!$A$7:$AN$7,"구분")&gt;0,7,IF(COUNTIF('1_나이스_공무원'!$A$8:$AN$8,"구분")&gt;0,8,0))))))))</f>
        <v/>
      </c>
      <c r="C4" s="1360" t="n"/>
    </row>
    <row r="5">
      <c r="A5" s="1360" t="inlineStr">
        <is>
          <t>[1_나이스_공무원] 계 금액열</t>
        </is>
      </c>
      <c r="B5" s="1360">
        <f>IF($B$4=0,0,IFERROR(MATCH("계(*",OFFSET('1_나이스_공무원'!$A$1,$B$4-1,0,1,40),0)+1,IFERROR(MATCH("계*",OFFSET('1_나이스_공무원'!$A$1,$B$4-1,0,1,40),0)+1,0)))</f>
        <v/>
      </c>
      <c r="C5" s="1360" t="n"/>
    </row>
    <row r="6">
      <c r="A6" s="1360" t="inlineStr">
        <is>
          <t>[1_나이스_공무원] 기간제교원 금액열</t>
        </is>
      </c>
      <c r="B6" s="1360">
        <f>IF($B$4=0,0,IFERROR(MATCH("기간제*",OFFSET('1_나이스_공무원'!$A$1,$B$4-1,0,1,40),0)+1,0))</f>
        <v/>
      </c>
      <c r="C6" s="1360" t="n"/>
    </row>
    <row r="7">
      <c r="A7" s="1360" t="inlineStr">
        <is>
          <t>[1_나이스_공무원] 소득세 행</t>
        </is>
      </c>
      <c r="B7" s="1360">
        <f>IFERROR(MATCH("소득세",'1_나이스_공무원'!$A$1:$A$300,0),0)</f>
        <v/>
      </c>
      <c r="C7" s="1360" t="n"/>
    </row>
    <row r="8">
      <c r="A8" s="1360" t="inlineStr">
        <is>
          <t>[1_나이스_공무원] 지방소득세 행</t>
        </is>
      </c>
      <c r="B8" s="1360">
        <f>IFERROR(MATCH("지방소득세",'1_나이스_공무원'!$A$1:$A$300,0),0)</f>
        <v/>
      </c>
      <c r="C8" s="1360" t="n"/>
    </row>
    <row r="9">
      <c r="A9" s="1360" t="inlineStr">
        <is>
          <t>[1_나이스_공무원] 건강보험 행</t>
        </is>
      </c>
      <c r="B9" s="1360">
        <f>IFERROR(MATCH("건강보험",'1_나이스_공무원'!$A$1:$A$300,0),0)</f>
        <v/>
      </c>
      <c r="C9" s="1360" t="n"/>
    </row>
    <row r="10">
      <c r="A10" s="1360" t="inlineStr">
        <is>
          <t>[1_나이스_공무원] 노인장기요양 행</t>
        </is>
      </c>
      <c r="B10" s="1360">
        <f>IFERROR(MATCH("노인장기요양보험",'1_나이스_공무원'!$A$1:$A$300,0),0)</f>
        <v/>
      </c>
      <c r="C10" s="1360" t="n"/>
    </row>
    <row r="11">
      <c r="A11" s="1360" t="inlineStr">
        <is>
          <t>[1_나이스_공무원] 국민연금 행</t>
        </is>
      </c>
      <c r="B11" s="1360">
        <f>IFERROR(MATCH("국민연금",'1_나이스_공무원'!$A$1:$A$300,0),0)</f>
        <v/>
      </c>
      <c r="C11" s="1360" t="n"/>
    </row>
    <row r="12">
      <c r="A12" s="1360" t="inlineStr">
        <is>
          <t>[1_나이스_공무원] 고용보험 행</t>
        </is>
      </c>
      <c r="B12" s="1360">
        <f>IFERROR(MATCH("고용보험",'1_나이스_공무원'!$A$1:$A$300,0),0)</f>
        <v/>
      </c>
      <c r="C12" s="1360" t="n"/>
    </row>
    <row r="13">
      <c r="A13" s="1360" t="inlineStr">
        <is>
          <t>[2_나이스_교육공무직] 머리글행(구분)</t>
        </is>
      </c>
      <c r="B13" s="1360">
        <f>IF(COUNTIF('2_나이스_교육공무직'!$A$1:$AN$1,"구분")&gt;0,1,IF(COUNTIF('2_나이스_교육공무직'!$A$2:$AN$2,"구분")&gt;0,2,IF(COUNTIF('2_나이스_교육공무직'!$A$3:$AN$3,"구분")&gt;0,3,IF(COUNTIF('2_나이스_교육공무직'!$A$4:$AN$4,"구분")&gt;0,4,IF(COUNTIF('2_나이스_교육공무직'!$A$5:$AN$5,"구분")&gt;0,5,IF(COUNTIF('2_나이스_교육공무직'!$A$6:$AN$6,"구분")&gt;0,6,IF(COUNTIF('2_나이스_교육공무직'!$A$7:$AN$7,"구분")&gt;0,7,IF(COUNTIF('2_나이스_교육공무직'!$A$8:$AN$8,"구분")&gt;0,8,0))))))))</f>
        <v/>
      </c>
      <c r="C13" s="1360" t="n"/>
    </row>
    <row r="14">
      <c r="A14" s="1360" t="inlineStr">
        <is>
          <t>[2_나이스_교육공무직] 계 금액열</t>
        </is>
      </c>
      <c r="B14" s="1360">
        <f>IF($B$13=0,0,IFERROR(MATCH("계(*",OFFSET('2_나이스_교육공무직'!$A$1,$B$13-1,0,1,40),0)+1,IFERROR(MATCH("계*",OFFSET('2_나이스_교육공무직'!$A$1,$B$13-1,0,1,40),0)+1,0)))</f>
        <v/>
      </c>
      <c r="C14" s="1360" t="n"/>
    </row>
    <row r="15">
      <c r="A15" s="1360" t="inlineStr">
        <is>
          <t>[2_나이스_교육공무직] 소득세 행</t>
        </is>
      </c>
      <c r="B15" s="1360">
        <f>IFERROR(MATCH("소득세",'2_나이스_교육공무직'!$A$1:$A$300,0),0)</f>
        <v/>
      </c>
      <c r="C15" s="1360" t="n"/>
    </row>
    <row r="16">
      <c r="A16" s="1360" t="inlineStr">
        <is>
          <t>[2_나이스_교육공무직] 지방소득세 행</t>
        </is>
      </c>
      <c r="B16" s="1360">
        <f>IFERROR(MATCH("지방소득세",'2_나이스_교육공무직'!$A$1:$A$300,0),0)</f>
        <v/>
      </c>
      <c r="C16" s="1360" t="n"/>
    </row>
    <row r="17">
      <c r="A17" s="1360" t="inlineStr">
        <is>
          <t>[3_교데통_기간제] 머리글행(부담금)</t>
        </is>
      </c>
      <c r="B17" s="1360">
        <f>IF(COUNTIF('3_교데통_기간제'!$A$1:$AN$1,"개인부담금*")&gt;0,1,IF(COUNTIF('3_교데통_기간제'!$A$2:$AN$2,"개인부담금*")&gt;0,2,IF(COUNTIF('3_교데통_기간제'!$A$3:$AN$3,"개인부담금*")&gt;0,3,IF(COUNTIF('3_교데통_기간제'!$A$4:$AN$4,"개인부담금*")&gt;0,4,IF(COUNTIF('3_교데통_기간제'!$A$5:$AN$5,"개인부담금*")&gt;0,5,IF(COUNTIF('3_교데통_기간제'!$A$6:$AN$6,"개인부담금*")&gt;0,6,0))))))</f>
        <v/>
      </c>
      <c r="C17" s="1360" t="n"/>
    </row>
    <row r="18">
      <c r="A18" s="1360" t="inlineStr">
        <is>
          <t>[3_교데통_기간제] 기관명 열</t>
        </is>
      </c>
      <c r="B18" s="1360">
        <f>IF($B$17=0,0,IFERROR(MATCH("기관명",OFFSET('3_교데통_기간제'!$A$1,$B$17-1,0,1,40),0),IFERROR(MATCH("학교명",OFFSET('3_교데통_기간제'!$A$1,$B$17-1,0,1,40),0),2)))</f>
        <v/>
      </c>
      <c r="C18" s="1360" t="n"/>
    </row>
    <row r="19">
      <c r="A19" s="1360" t="inlineStr">
        <is>
          <t>[3_교데통_기간제] 개인부담금 시작열</t>
        </is>
      </c>
      <c r="B19" s="1360">
        <f>IF($B$17=0,0,IFERROR(MATCH("개인부담금*",OFFSET('3_교데통_기간제'!$A$1,$B$17-1,0,1,40),0),0))</f>
        <v/>
      </c>
      <c r="C19" s="1360" t="n"/>
    </row>
    <row r="20">
      <c r="A20" s="1360" t="inlineStr">
        <is>
          <t>[3_교데통_기간제] 기관부담금 시작열</t>
        </is>
      </c>
      <c r="B20" s="1360">
        <f>IF($B$17=0,0,IFERROR(MATCH("기관부담금*",OFFSET('3_교데통_기간제'!$A$1,$B$17-1,0,1,40),0),0))</f>
        <v/>
      </c>
      <c r="C20" s="1360" t="n"/>
    </row>
    <row r="21">
      <c r="A21" s="1360" t="inlineStr">
        <is>
          <t>[3_교데통_기간제] 합계 열</t>
        </is>
      </c>
      <c r="B21" s="1360">
        <f>IF($B$20=0,0,$B$20+5)</f>
        <v/>
      </c>
      <c r="C21" s="1360" t="n"/>
    </row>
    <row r="22">
      <c r="A22" s="1360" t="inlineStr">
        <is>
          <t>[4_교데통_기타4] 머리글행(부담금)</t>
        </is>
      </c>
      <c r="B22" s="1360">
        <f>IF(COUNTIF('4_교데통_기타4'!$A$1:$AN$1,"개인부담금*")&gt;0,1,IF(COUNTIF('4_교데통_기타4'!$A$2:$AN$2,"개인부담금*")&gt;0,2,IF(COUNTIF('4_교데통_기타4'!$A$3:$AN$3,"개인부담금*")&gt;0,3,IF(COUNTIF('4_교데통_기타4'!$A$4:$AN$4,"개인부담금*")&gt;0,4,IF(COUNTIF('4_교데통_기타4'!$A$5:$AN$5,"개인부담금*")&gt;0,5,IF(COUNTIF('4_교데통_기타4'!$A$6:$AN$6,"개인부담금*")&gt;0,6,0))))))</f>
        <v/>
      </c>
      <c r="C22" s="1360" t="n"/>
    </row>
    <row r="23">
      <c r="A23" s="1360" t="inlineStr">
        <is>
          <t>[4_교데통_기타4] 기관명 열</t>
        </is>
      </c>
      <c r="B23" s="1360">
        <f>IF($B$22=0,0,IFERROR(MATCH("기관명",OFFSET('4_교데통_기타4'!$A$1,$B$22-1,0,1,40),0),IFERROR(MATCH("학교명",OFFSET('4_교데통_기타4'!$A$1,$B$22-1,0,1,40),0),2)))</f>
        <v/>
      </c>
      <c r="C23" s="1360" t="n"/>
    </row>
    <row r="24">
      <c r="A24" s="1360" t="inlineStr">
        <is>
          <t>[4_교데통_기타4] 개인부담금 시작열</t>
        </is>
      </c>
      <c r="B24" s="1360">
        <f>IF($B$22=0,0,IFERROR(MATCH("개인부담금*",OFFSET('4_교데통_기타4'!$A$1,$B$22-1,0,1,40),0),0))</f>
        <v/>
      </c>
      <c r="C24" s="1360" t="n"/>
    </row>
    <row r="25">
      <c r="A25" s="1360" t="inlineStr">
        <is>
          <t>[4_교데통_기타4] 기관부담금 시작열</t>
        </is>
      </c>
      <c r="B25" s="1360">
        <f>IF($B$22=0,0,IFERROR(MATCH("기관부담금*",OFFSET('4_교데통_기타4'!$A$1,$B$22-1,0,1,40),0),0))</f>
        <v/>
      </c>
      <c r="C25" s="1360" t="n"/>
    </row>
    <row r="26">
      <c r="A26" s="1360" t="inlineStr">
        <is>
          <t>[4_교데통_기타4] 합계 열</t>
        </is>
      </c>
      <c r="B26" s="1360">
        <f>IF($B$25=0,0,$B$25+5)</f>
        <v/>
      </c>
      <c r="C26" s="1360" t="n"/>
    </row>
    <row r="27">
      <c r="A27" s="1360" t="inlineStr">
        <is>
          <t>[5_교육청_교직원] 머리글행</t>
        </is>
      </c>
      <c r="B27" s="1360">
        <f>IF(COUNTIF('5_교육청_교직원'!$A$1:$AN$1,"건강보험*")&gt;0,1,IF(COUNTIF('5_교육청_교직원'!$A$2:$AN$2,"건강보험*")&gt;0,2,IF(COUNTIF('5_교육청_교직원'!$A$3:$AN$3,"건강보험*")&gt;0,3,IF(COUNTIF('5_교육청_교직원'!$A$4:$AN$4,"건강보험*")&gt;0,4,IF(COUNTIF('5_교육청_교직원'!$A$5:$AN$5,"건강보험*")&gt;0,5,IF(COUNTIF('5_교육청_교직원'!$A$6:$AN$6,"건강보험*")&gt;0,6,IF(COUNTIF('5_교육청_교직원'!$A$7:$AN$7,"건강보험*")&gt;0,7,IF(COUNTIF('5_교육청_교직원'!$A$8:$AN$8,"건강보험*")&gt;0,8,0))))))))</f>
        <v/>
      </c>
      <c r="C27" s="1360" t="n"/>
    </row>
    <row r="28">
      <c r="A28" s="1360" t="inlineStr">
        <is>
          <t>[5_교육청_교직원] 기관명 열</t>
        </is>
      </c>
      <c r="B28" s="1360">
        <f>IF($B$27=0,0,IFERROR(MATCH("*학교별*",OFFSET('5_교육청_교직원'!$A$1,$B$27-1,0,1,40),0),IFERROR(MATCH("기관명",OFFSET('5_교육청_교직원'!$A$1,$B$27-1,0,1,40),0),2)))</f>
        <v/>
      </c>
      <c r="C28" s="1360" t="n"/>
    </row>
    <row r="29">
      <c r="A29" s="1360" t="inlineStr">
        <is>
          <t>[5_교육청_교직원] 건강보험 열</t>
        </is>
      </c>
      <c r="B29" s="1360">
        <f>IF($B$27=0,0,IFERROR(MATCH("건강보험*",OFFSET('5_교육청_교직원'!$A$1,$B$27-1,0,1,40),0),0))</f>
        <v/>
      </c>
      <c r="C29" s="1360" t="n"/>
    </row>
    <row r="30">
      <c r="A30" s="1360" t="inlineStr">
        <is>
          <t>[5_교육청_교직원] 국민연금 열</t>
        </is>
      </c>
      <c r="B30" s="1360">
        <f>IF($B$27=0,0,IFERROR(MATCH("국민연금*",OFFSET('5_교육청_교직원'!$A$1,$B$27-1,0,1,40),0),0))</f>
        <v/>
      </c>
      <c r="C30" s="1360" t="n"/>
    </row>
    <row r="31">
      <c r="A31" s="1360" t="inlineStr">
        <is>
          <t>[5_교육청_교직원] 고용보험 열</t>
        </is>
      </c>
      <c r="B31" s="1360">
        <f>IF($B$27=0,0,IFERROR(MATCH("고용보험*",OFFSET('5_교육청_교직원'!$A$1,$B$27-1,0,1,40),0),0))</f>
        <v/>
      </c>
      <c r="C31" s="1360" t="n"/>
    </row>
    <row r="32">
      <c r="A32" s="1360" t="inlineStr">
        <is>
          <t>[5_교육청_교직원] 원천세 열</t>
        </is>
      </c>
      <c r="B32" s="1360">
        <f>IF($B$27=0,0,IFERROR(MATCH("원천세*",OFFSET('5_교육청_교직원'!$A$1,$B$27-1,0,1,40),0),0))</f>
        <v/>
      </c>
      <c r="C32" s="1360" t="n"/>
    </row>
    <row r="33">
      <c r="A33" s="1360" t="inlineStr">
        <is>
          <t>[5_교육청_교직원] 합계 열</t>
        </is>
      </c>
      <c r="B33" s="1360">
        <f>IF($B$27=0,0,IFERROR(MATCH("합*계*",OFFSET('5_교육청_교직원'!$A$1,$B$27-1,0,1,40),0),0))</f>
        <v/>
      </c>
      <c r="C33" s="1360" t="n"/>
    </row>
    <row r="34">
      <c r="A34" s="1360" t="inlineStr">
        <is>
          <t>[6_교육청_교육공무직] 머리글행</t>
        </is>
      </c>
      <c r="B34" s="1360">
        <f>IF(COUNTIF('6_교육청_교육공무직'!$A$1:$AN$1,"지방소득세")&gt;0,1,IF(COUNTIF('6_교육청_교육공무직'!$A$2:$AN$2,"지방소득세")&gt;0,2,IF(COUNTIF('6_교육청_교육공무직'!$A$3:$AN$3,"지방소득세")&gt;0,3,IF(COUNTIF('6_교육청_교육공무직'!$A$4:$AN$4,"지방소득세")&gt;0,4,IF(COUNTIF('6_교육청_교육공무직'!$A$5:$AN$5,"지방소득세")&gt;0,5,IF(COUNTIF('6_교육청_교육공무직'!$A$6:$AN$6,"지방소득세")&gt;0,6,IF(COUNTIF('6_교육청_교육공무직'!$A$7:$AN$7,"지방소득세")&gt;0,7,IF(COUNTIF('6_교육청_교육공무직'!$A$8:$AN$8,"지방소득세")&gt;0,8,0))))))))</f>
        <v/>
      </c>
      <c r="C34" s="1360" t="n"/>
    </row>
    <row r="35">
      <c r="A35" s="1360" t="inlineStr">
        <is>
          <t>[6_교육청_교육공무직] 기관명 열</t>
        </is>
      </c>
      <c r="B35" s="1360">
        <f>IF($B$34=0,0,IFERROR(MATCH("기관명",OFFSET('6_교육청_교육공무직'!$A$1,$B$34-1,0,1,40),0),IFERROR(MATCH("학교명",OFFSET('6_교육청_교육공무직'!$A$1,$B$34-1,0,1,40),0),2)))</f>
        <v/>
      </c>
      <c r="C35" s="1360" t="n"/>
    </row>
    <row r="36">
      <c r="A36" s="1360" t="inlineStr">
        <is>
          <t>[6_교육청_교육공무직] 소득세 열</t>
        </is>
      </c>
      <c r="B36" s="1360">
        <f>IF($B$34=0,0,IFERROR(MATCH("소득세",OFFSET('6_교육청_교육공무직'!$A$1,$B$34-1,0,1,40),0),0))</f>
        <v/>
      </c>
      <c r="C36" s="1360" t="n"/>
    </row>
    <row r="37">
      <c r="A37" s="1360" t="inlineStr">
        <is>
          <t>[6_교육청_교육공무직] 지방소득세 열</t>
        </is>
      </c>
      <c r="B37" s="1360">
        <f>IF($B$34=0,0,IFERROR(MATCH("지방소득세",OFFSET('6_교육청_교육공무직'!$A$1,$B$34-1,0,1,40),0),0))</f>
        <v/>
      </c>
      <c r="C37" s="1360" t="n"/>
    </row>
    <row r="38">
      <c r="A38" s="1360" t="inlineStr">
        <is>
          <t>[6_교육청_교육공무직] 중도정산소득세 열</t>
        </is>
      </c>
      <c r="B38" s="1360">
        <f>IF($B$34=0,0,IFERROR(MATCH("중도정산소득세",OFFSET('6_교육청_교육공무직'!$A$1,$B$34-1,0,1,40),0),0))</f>
        <v/>
      </c>
      <c r="C38" s="1360" t="n"/>
    </row>
    <row r="39">
      <c r="A39" s="1360" t="inlineStr">
        <is>
          <t>[6_교육청_교육공무직] 중도정산지방세 열</t>
        </is>
      </c>
      <c r="B39" s="1360">
        <f>IF($B$34=0,0,IFERROR(MATCH("중도정산지방소득세",OFFSET('6_교육청_교육공무직'!$A$1,$B$34-1,0,1,40),0),0))</f>
        <v/>
      </c>
      <c r="C39" s="1360" t="n"/>
    </row>
    <row r="40">
      <c r="A40" s="1360" t="inlineStr">
        <is>
          <t>[6_교육청_교육공무직] 건강보험 열</t>
        </is>
      </c>
      <c r="B40" s="1360">
        <f>IF($B$34=0,0,IFERROR(MATCH("건강보험*",OFFSET('6_교육청_교육공무직'!$A$1,$B$34-1,0,1,40),0),0))</f>
        <v/>
      </c>
      <c r="C40" s="1360" t="n"/>
    </row>
    <row r="41">
      <c r="A41" s="1360" t="inlineStr">
        <is>
          <t>[6_교육청_교육공무직] 국민연금 열</t>
        </is>
      </c>
      <c r="B41" s="1360">
        <f>IF($B$34=0,0,IFERROR(MATCH("국민연금*",OFFSET('6_교육청_교육공무직'!$A$1,$B$34-1,0,1,40),0),0))</f>
        <v/>
      </c>
      <c r="C41" s="1360" t="n"/>
    </row>
    <row r="42">
      <c r="A42" s="1360" t="inlineStr">
        <is>
          <t>[6_교육청_교육공무직] 고용보험 열</t>
        </is>
      </c>
      <c r="B42" s="1360">
        <f>IF($B$34=0,0,IFERROR(MATCH("고용보험*",OFFSET('6_교육청_교육공무직'!$A$1,$B$34-1,0,1,40),0),0))</f>
        <v/>
      </c>
      <c r="C42" s="1360" t="n"/>
    </row>
    <row r="43">
      <c r="A43" s="1360" t="inlineStr">
        <is>
          <t>[6_교육청_교육공무직] 합계 열</t>
        </is>
      </c>
      <c r="B43" s="1360">
        <f>IF($B$34=0,0,IFERROR(MATCH("합*계*",OFFSET('6_교육청_교육공무직'!$A$1,$B$34-1,0,1,40),0),0))</f>
        <v/>
      </c>
      <c r="C43" s="1360" t="n"/>
    </row>
    <row r="44">
      <c r="A44" s="1360" t="inlineStr">
        <is>
          <t>[6_교육청_교육공무직] 학교 행</t>
        </is>
      </c>
      <c r="B44" s="1360">
        <f>IF(OR($B$35=0,'파일넣기'!$D$7=""),0,IFERROR(MATCH('파일넣기'!$D$7,OFFSET('6_교육청_교육공무직'!$A$1,0,$B$35-1,600,1),0),0))</f>
        <v/>
      </c>
      <c r="C44" s="1360" t="n"/>
    </row>
    <row r="45">
      <c r="A45" s="1360" t="inlineStr">
        <is>
          <t>[6_교육청_교육공무직] 병설유치원 행</t>
        </is>
      </c>
      <c r="B45" s="1360">
        <f>IF(OR($B$35=0,'파일넣기'!$D$7=""),0,IFERROR(MATCH('파일넣기'!$D$7&amp;"*병설*",OFFSET('6_교육청_교육공무직'!$A$1,0,$B$35-1,600,1),0),0))</f>
        <v/>
      </c>
      <c r="C45" s="1360" t="n"/>
    </row>
    <row r="46">
      <c r="A46" s="1360" t="n"/>
      <c r="B46" s="1360" t="n"/>
      <c r="C46" s="1360" t="n"/>
    </row>
    <row r="47">
      <c r="A47" s="1360" t="n"/>
      <c r="B47" s="1360" t="n"/>
      <c r="C47" s="1360" t="n"/>
    </row>
    <row r="48">
      <c r="A48" s="1324" t="inlineStr">
        <is>
          <t>추출 금액</t>
        </is>
      </c>
      <c r="B48" s="1324" t="inlineStr">
        <is>
          <t>금액</t>
        </is>
      </c>
      <c r="C48" s="1324" t="inlineStr">
        <is>
          <t>추출 방법</t>
        </is>
      </c>
    </row>
    <row r="49">
      <c r="A49" s="1360" t="inlineStr">
        <is>
          <t>나이스 공무원 소득세(계)</t>
        </is>
      </c>
      <c r="B49" s="1370">
        <f>IF(OR($B$4=0,$B$5=0),0,IFERROR(INDEX('1_나이스_공무원'!$A$1:$BB$300,$B$7,$B$5),0))</f>
        <v/>
      </c>
      <c r="C49" s="1360" t="inlineStr">
        <is>
          <t>급여총괄표 '계' 열의 소득세</t>
        </is>
      </c>
    </row>
    <row r="50">
      <c r="A50" s="1360" t="inlineStr">
        <is>
          <t>나이스 공무원 지방소득세(계)</t>
        </is>
      </c>
      <c r="B50" s="1370">
        <f>IF(OR($B$4=0,$B$5=0),0,IFERROR(INDEX('1_나이스_공무원'!$A$1:$BB$300,$B$8,$B$5),0))</f>
        <v/>
      </c>
      <c r="C50" s="1360" t="inlineStr">
        <is>
          <t>급여총괄표 '계' 열의 지방소득세</t>
        </is>
      </c>
    </row>
    <row r="51">
      <c r="A51" s="1360" t="inlineStr">
        <is>
          <t>나이스 공무원 건강+장기(계)</t>
        </is>
      </c>
      <c r="B51" s="1370">
        <f>IF(OR($B$4=0,$B$5=0),0,IFERROR(INDEX('1_나이스_공무원'!$A$1:$BB$300,$B$9,$B$5),0)+IFERROR(INDEX('1_나이스_공무원'!$A$1:$BB$300,$B$10,$B$5),0))</f>
        <v/>
      </c>
      <c r="C51" s="1360" t="inlineStr">
        <is>
          <t>검증용</t>
        </is>
      </c>
    </row>
    <row r="52">
      <c r="A52" s="1360" t="inlineStr">
        <is>
          <t>나이스 공무원 국민연금(계)</t>
        </is>
      </c>
      <c r="B52" s="1370">
        <f>IF(OR($B$4=0,$B$5=0),0,IFERROR(INDEX('1_나이스_공무원'!$A$1:$BB$300,$B$11,$B$5),0))</f>
        <v/>
      </c>
      <c r="C52" s="1360" t="inlineStr">
        <is>
          <t>검증용</t>
        </is>
      </c>
    </row>
    <row r="53">
      <c r="A53" s="1360" t="inlineStr">
        <is>
          <t>나이스 공무원 고용보험(계)</t>
        </is>
      </c>
      <c r="B53" s="1370">
        <f>IF(OR($B$4=0,$B$5=0),0,IFERROR(INDEX('1_나이스_공무원'!$A$1:$BB$300,$B$12,$B$5),0))</f>
        <v/>
      </c>
      <c r="C53" s="1360" t="inlineStr">
        <is>
          <t>검증용</t>
        </is>
      </c>
    </row>
    <row r="54">
      <c r="A54" s="1360" t="inlineStr">
        <is>
          <t>나이스 기간제 건강+장기</t>
        </is>
      </c>
      <c r="B54" s="1370">
        <f>IF(OR($B$6=0),0,IFERROR(INDEX('1_나이스_공무원'!$A$1:$BB$300,$B$9,$B$6),0)+IFERROR(INDEX('1_나이스_공무원'!$A$1:$BB$300,$B$10,$B$6),0))</f>
        <v/>
      </c>
      <c r="C54" s="1360" t="inlineStr">
        <is>
          <t>검증용</t>
        </is>
      </c>
    </row>
    <row r="55">
      <c r="A55" s="1360" t="inlineStr">
        <is>
          <t>나이스 기간제 국민연금</t>
        </is>
      </c>
      <c r="B55" s="1370">
        <f>IF(OR($B$6=0),0,IFERROR(INDEX('1_나이스_공무원'!$A$1:$BB$300,$B$11,$B$6),0))</f>
        <v/>
      </c>
      <c r="C55" s="1360" t="inlineStr">
        <is>
          <t>검증용</t>
        </is>
      </c>
    </row>
    <row r="56">
      <c r="A56" s="1360" t="inlineStr">
        <is>
          <t>나이스 기간제 고용보험</t>
        </is>
      </c>
      <c r="B56" s="1370">
        <f>IF(OR($B$6=0),0,IFERROR(INDEX('1_나이스_공무원'!$A$1:$BB$300,$B$12,$B$6),0))</f>
        <v/>
      </c>
      <c r="C56" s="1360" t="inlineStr">
        <is>
          <t>검증용</t>
        </is>
      </c>
    </row>
    <row r="57">
      <c r="A57" s="1360" t="inlineStr">
        <is>
          <t>나이스 교육공무직 소득세</t>
        </is>
      </c>
      <c r="B57" s="1370">
        <f>IF(OR($B$13=0,$B$14=0),0,IFERROR(INDEX('2_나이스_교육공무직'!$A$1:$BB$300,$B$15,$B$14),0))</f>
        <v/>
      </c>
      <c r="C57" s="1360" t="inlineStr">
        <is>
          <t>급여총괄표 '계' 열</t>
        </is>
      </c>
    </row>
    <row r="58">
      <c r="A58" s="1360" t="inlineStr">
        <is>
          <t>나이스 교육공무직 지방소득세</t>
        </is>
      </c>
      <c r="B58" s="1370">
        <f>IF(OR($B$13=0,$B$14=0),0,IFERROR(INDEX('2_나이스_교육공무직'!$A$1:$BB$300,$B$16,$B$14),0))</f>
        <v/>
      </c>
      <c r="C58" s="1360" t="inlineStr">
        <is>
          <t>급여총괄표 '계' 열</t>
        </is>
      </c>
    </row>
    <row r="59">
      <c r="A59" s="1360" t="inlineStr">
        <is>
          <t>교데통 기간제 개인 건강+장기</t>
        </is>
      </c>
      <c r="B59" s="1370">
        <f>IF(OR('파일넣기'!$D$7="",$B$18=0,$B$19=0),0,SUMIF(OFFSET('3_교데통_기간제'!$A$1,0,$B$18-1,600,1),'파일넣기'!$D$7&amp;"*",OFFSET('3_교데통_기간제'!$A$1,0,$B$19-1,600,1))+SUMIF(OFFSET('3_교데통_기간제'!$A$1,0,$B$18-1,600,1),'파일넣기'!$D$7&amp;"*",OFFSET('3_교데통_기간제'!$A$1,0,$B$19+1-1,600,1)))</f>
        <v/>
      </c>
      <c r="C59" s="1360" t="inlineStr">
        <is>
          <t>개인부담금 건강+장기요양</t>
        </is>
      </c>
    </row>
    <row r="60">
      <c r="A60" s="1360" t="inlineStr">
        <is>
          <t>교데통 기간제 개인 국민연금</t>
        </is>
      </c>
      <c r="B60" s="1370">
        <f>IF(OR('파일넣기'!$D$7="",$B$18=0,$B$19=0),0,SUMIF(OFFSET('3_교데통_기간제'!$A$1,0,$B$18-1,600,1),'파일넣기'!$D$7&amp;"*",OFFSET('3_교데통_기간제'!$A$1,0,$B$19+2-1,600,1)))</f>
        <v/>
      </c>
      <c r="C60" s="1360" t="inlineStr">
        <is>
          <t>개인부담금 국민연금</t>
        </is>
      </c>
    </row>
    <row r="61">
      <c r="A61" s="1360" t="inlineStr">
        <is>
          <t>교데통 기간제 개인 고용보험</t>
        </is>
      </c>
      <c r="B61" s="1370">
        <f>IF(OR('파일넣기'!$D$7="",$B$18=0,$B$19=0),0,SUMIF(OFFSET('3_교데통_기간제'!$A$1,0,$B$18-1,600,1),'파일넣기'!$D$7&amp;"*",OFFSET('3_교데통_기간제'!$A$1,0,$B$19+3-1,600,1)))</f>
        <v/>
      </c>
      <c r="C61" s="1360" t="inlineStr">
        <is>
          <t>개인부담금 고용보험</t>
        </is>
      </c>
    </row>
    <row r="62">
      <c r="A62" s="1360" t="inlineStr">
        <is>
          <t>교데통 기간제 기관 건강+장기</t>
        </is>
      </c>
      <c r="B62" s="1370">
        <f>IF(OR('파일넣기'!$D$7="",$B$18=0,$B$19=0),0,SUMIF(OFFSET('3_교데통_기간제'!$A$1,0,$B$18-1,600,1),'파일넣기'!$D$7&amp;"*",OFFSET('3_교데통_기간제'!$A$1,0,$B$20-1,600,1))+SUMIF(OFFSET('3_교데통_기간제'!$A$1,0,$B$18-1,600,1),'파일넣기'!$D$7&amp;"*",OFFSET('3_교데통_기간제'!$A$1,0,$B$20+1-1,600,1)))</f>
        <v/>
      </c>
      <c r="C62" s="1360" t="inlineStr">
        <is>
          <t>기관부담금 건강+장기요양</t>
        </is>
      </c>
    </row>
    <row r="63">
      <c r="A63" s="1360" t="inlineStr">
        <is>
          <t>교데통 기간제 기관 국민연금</t>
        </is>
      </c>
      <c r="B63" s="1370">
        <f>IF(OR('파일넣기'!$D$7="",$B$18=0,$B$19=0),0,SUMIF(OFFSET('3_교데통_기간제'!$A$1,0,$B$18-1,600,1),'파일넣기'!$D$7&amp;"*",OFFSET('3_교데통_기간제'!$A$1,0,$B$20+2-1,600,1)))</f>
        <v/>
      </c>
      <c r="C63" s="1360" t="inlineStr">
        <is>
          <t>기관부담금 국민연금</t>
        </is>
      </c>
    </row>
    <row r="64">
      <c r="A64" s="1360" t="inlineStr">
        <is>
          <t>교데통 기간제 기관 고용보험</t>
        </is>
      </c>
      <c r="B64" s="1370">
        <f>IF(OR('파일넣기'!$D$7="",$B$18=0,$B$19=0),0,SUMIF(OFFSET('3_교데통_기간제'!$A$1,0,$B$18-1,600,1),'파일넣기'!$D$7&amp;"*",OFFSET('3_교데통_기간제'!$A$1,0,$B$20+3-1,600,1)))</f>
        <v/>
      </c>
      <c r="C64" s="1360" t="inlineStr">
        <is>
          <t>기관부담금 고용보험</t>
        </is>
      </c>
    </row>
    <row r="65">
      <c r="A65" s="1360" t="inlineStr">
        <is>
          <t>교데통 기간제 기관 산재보험</t>
        </is>
      </c>
      <c r="B65" s="1370">
        <f>IF(OR('파일넣기'!$D$7="",$B$18=0,$B$19=0),0,SUMIF(OFFSET('3_교데통_기간제'!$A$1,0,$B$18-1,600,1),'파일넣기'!$D$7&amp;"*",OFFSET('3_교데통_기간제'!$A$1,0,$B$20+4-1,600,1)))</f>
        <v/>
      </c>
      <c r="C65" s="1360" t="inlineStr">
        <is>
          <t>기관부담금 산재보험</t>
        </is>
      </c>
    </row>
    <row r="66">
      <c r="A66" s="1360" t="inlineStr">
        <is>
          <t>교데통 기간제 신청 합계</t>
        </is>
      </c>
      <c r="B66" s="1370">
        <f>IF(OR('파일넣기'!$D$7="",$B$18=0,$B$19=0),0,SUMIF(OFFSET('3_교데통_기간제'!$A$1,0,$B$18-1,600,1),'파일넣기'!$D$7&amp;"*",OFFSET('3_교데통_기간제'!$A$1,0,$B$21-1,600,1)))</f>
        <v/>
      </c>
      <c r="C66" s="1360" t="inlineStr">
        <is>
          <t>기관부담금 신청 합계액</t>
        </is>
      </c>
    </row>
    <row r="67">
      <c r="A67" s="1360" t="inlineStr">
        <is>
          <t>교데통 기타4 개인 건강+장기</t>
        </is>
      </c>
      <c r="B67" s="1370">
        <f>IF(OR('파일넣기'!$D$7="",$B$23=0,$B$24=0),0,SUMIF(OFFSET('4_교데통_기타4'!$A$1,0,$B$23-1,600,1),'파일넣기'!$D$7&amp;"*",OFFSET('4_교데통_기타4'!$A$1,0,$B$24-1,600,1))+SUMIF(OFFSET('4_교데통_기타4'!$A$1,0,$B$23-1,600,1),'파일넣기'!$D$7&amp;"*",OFFSET('4_교데통_기타4'!$A$1,0,$B$24+1-1,600,1)))</f>
        <v/>
      </c>
      <c r="C67" s="1360" t="inlineStr">
        <is>
          <t>개인부담금 건강+장기요양</t>
        </is>
      </c>
    </row>
    <row r="68">
      <c r="A68" s="1360" t="inlineStr">
        <is>
          <t>교데통 기타4 개인 국민연금</t>
        </is>
      </c>
      <c r="B68" s="1370">
        <f>IF(OR('파일넣기'!$D$7="",$B$23=0,$B$24=0),0,SUMIF(OFFSET('4_교데통_기타4'!$A$1,0,$B$23-1,600,1),'파일넣기'!$D$7&amp;"*",OFFSET('4_교데통_기타4'!$A$1,0,$B$24+2-1,600,1)))</f>
        <v/>
      </c>
      <c r="C68" s="1360" t="inlineStr">
        <is>
          <t>개인부담금 국민연금</t>
        </is>
      </c>
    </row>
    <row r="69">
      <c r="A69" s="1360" t="inlineStr">
        <is>
          <t>교데통 기타4 개인 고용보험</t>
        </is>
      </c>
      <c r="B69" s="1370">
        <f>IF(OR('파일넣기'!$D$7="",$B$23=0,$B$24=0),0,SUMIF(OFFSET('4_교데통_기타4'!$A$1,0,$B$23-1,600,1),'파일넣기'!$D$7&amp;"*",OFFSET('4_교데통_기타4'!$A$1,0,$B$24+3-1,600,1)))</f>
        <v/>
      </c>
      <c r="C69" s="1360" t="inlineStr">
        <is>
          <t>개인부담금 고용보험</t>
        </is>
      </c>
    </row>
    <row r="70">
      <c r="A70" s="1360" t="inlineStr">
        <is>
          <t>교데통 기타4 기관 건강+장기</t>
        </is>
      </c>
      <c r="B70" s="1370">
        <f>IF(OR('파일넣기'!$D$7="",$B$23=0,$B$24=0),0,SUMIF(OFFSET('4_교데통_기타4'!$A$1,0,$B$23-1,600,1),'파일넣기'!$D$7&amp;"*",OFFSET('4_교데통_기타4'!$A$1,0,$B$25-1,600,1))+SUMIF(OFFSET('4_교데통_기타4'!$A$1,0,$B$23-1,600,1),'파일넣기'!$D$7&amp;"*",OFFSET('4_교데통_기타4'!$A$1,0,$B$25+1-1,600,1)))</f>
        <v/>
      </c>
      <c r="C70" s="1360" t="inlineStr">
        <is>
          <t>기관부담금 건강+장기요양</t>
        </is>
      </c>
    </row>
    <row r="71">
      <c r="A71" s="1360" t="inlineStr">
        <is>
          <t>교데통 기타4 기관 국민연금</t>
        </is>
      </c>
      <c r="B71" s="1370">
        <f>IF(OR('파일넣기'!$D$7="",$B$23=0,$B$24=0),0,SUMIF(OFFSET('4_교데통_기타4'!$A$1,0,$B$23-1,600,1),'파일넣기'!$D$7&amp;"*",OFFSET('4_교데통_기타4'!$A$1,0,$B$25+2-1,600,1)))</f>
        <v/>
      </c>
      <c r="C71" s="1360" t="inlineStr">
        <is>
          <t>기관부담금 국민연금</t>
        </is>
      </c>
    </row>
    <row r="72">
      <c r="A72" s="1360" t="inlineStr">
        <is>
          <t>교데통 기타4 기관 고용보험</t>
        </is>
      </c>
      <c r="B72" s="1370">
        <f>IF(OR('파일넣기'!$D$7="",$B$23=0,$B$24=0),0,SUMIF(OFFSET('4_교데통_기타4'!$A$1,0,$B$23-1,600,1),'파일넣기'!$D$7&amp;"*",OFFSET('4_교데통_기타4'!$A$1,0,$B$25+3-1,600,1)))</f>
        <v/>
      </c>
      <c r="C72" s="1360" t="inlineStr">
        <is>
          <t>기관부담금 고용보험</t>
        </is>
      </c>
    </row>
    <row r="73">
      <c r="A73" s="1360" t="inlineStr">
        <is>
          <t>교데통 기타4 기관 산재보험</t>
        </is>
      </c>
      <c r="B73" s="1370">
        <f>IF(OR('파일넣기'!$D$7="",$B$23=0,$B$24=0),0,SUMIF(OFFSET('4_교데통_기타4'!$A$1,0,$B$23-1,600,1),'파일넣기'!$D$7&amp;"*",OFFSET('4_교데통_기타4'!$A$1,0,$B$25+4-1,600,1)))</f>
        <v/>
      </c>
      <c r="C73" s="1360" t="inlineStr">
        <is>
          <t>기관부담금 산재보험</t>
        </is>
      </c>
    </row>
    <row r="74">
      <c r="A74" s="1360" t="inlineStr">
        <is>
          <t>교데통 기타4 신청 합계</t>
        </is>
      </c>
      <c r="B74" s="1370">
        <f>IF(OR('파일넣기'!$D$7="",$B$23=0,$B$24=0),0,SUMIF(OFFSET('4_교데통_기타4'!$A$1,0,$B$23-1,600,1),'파일넣기'!$D$7&amp;"*",OFFSET('4_교데통_기타4'!$A$1,0,$B$26-1,600,1)))</f>
        <v/>
      </c>
      <c r="C74" s="1360" t="inlineStr">
        <is>
          <t>기관부담금 신청 합계액</t>
        </is>
      </c>
    </row>
    <row r="75">
      <c r="A75" s="1360" t="inlineStr">
        <is>
          <t>교육청 교직원 건강+장기</t>
        </is>
      </c>
      <c r="B75" s="1370">
        <f>IF(OR('파일넣기'!$D$7="",$B$27=0,$B$28=0),0,SUMIF(OFFSET('5_교육청_교직원'!$A$1,0,$B$28-1,600,1),'파일넣기'!$D$7&amp;"*",OFFSET('5_교육청_교직원'!$A$1,0,$B$29-1,600,1)))</f>
        <v/>
      </c>
      <c r="C75" s="1360" t="inlineStr">
        <is>
          <t>학교+병설유치원 합산</t>
        </is>
      </c>
    </row>
    <row r="76">
      <c r="A76" s="1360" t="inlineStr">
        <is>
          <t>교육청 교직원 국민연금</t>
        </is>
      </c>
      <c r="B76" s="1370">
        <f>IF(OR('파일넣기'!$D$7="",$B$27=0,$B$28=0),0,SUMIF(OFFSET('5_교육청_교직원'!$A$1,0,$B$28-1,600,1),'파일넣기'!$D$7&amp;"*",OFFSET('5_교육청_교직원'!$A$1,0,$B$30-1,600,1)))</f>
        <v/>
      </c>
      <c r="C76" s="1360" t="inlineStr">
        <is>
          <t>학교+병설유치원 합산</t>
        </is>
      </c>
    </row>
    <row r="77">
      <c r="A77" s="1360" t="inlineStr">
        <is>
          <t>교육청 교직원 고용보험</t>
        </is>
      </c>
      <c r="B77" s="1370">
        <f>IF(OR('파일넣기'!$D$7="",$B$27=0,$B$28=0),0,SUMIF(OFFSET('5_교육청_교직원'!$A$1,0,$B$28-1,600,1),'파일넣기'!$D$7&amp;"*",OFFSET('5_교육청_교직원'!$A$1,0,$B$31-1,600,1)))</f>
        <v/>
      </c>
      <c r="C77" s="1360" t="inlineStr">
        <is>
          <t>학교+병설유치원 합산</t>
        </is>
      </c>
    </row>
    <row r="78">
      <c r="A78" s="1360" t="inlineStr">
        <is>
          <t>교육청 교직원 원천세</t>
        </is>
      </c>
      <c r="B78" s="1370">
        <f>IF(OR('파일넣기'!$D$7="",$B$27=0,$B$28=0),0,SUMIF(OFFSET('5_교육청_교직원'!$A$1,0,$B$28-1,600,1),'파일넣기'!$D$7&amp;"*",OFFSET('5_교육청_교직원'!$A$1,0,$B$32-1,600,1)))</f>
        <v/>
      </c>
      <c r="C78" s="1360" t="inlineStr">
        <is>
          <t>학교+병설유치원 합산</t>
        </is>
      </c>
    </row>
    <row r="79">
      <c r="A79" s="1360" t="inlineStr">
        <is>
          <t>교육청 교직원 이체 합계</t>
        </is>
      </c>
      <c r="B79" s="1370">
        <f>IF(OR('파일넣기'!$D$7="",$B$27=0,$B$28=0),0,SUMIF(OFFSET('5_교육청_교직원'!$A$1,0,$B$28-1,600,1),'파일넣기'!$D$7&amp;"*",OFFSET('5_교육청_교직원'!$A$1,0,$B$33-1,600,1)))</f>
        <v/>
      </c>
      <c r="C79" s="1360" t="inlineStr">
        <is>
          <t>학교+병설유치원 합산</t>
        </is>
      </c>
    </row>
    <row r="80">
      <c r="A80" s="1360" t="inlineStr">
        <is>
          <t>교육청 기타4 소득세</t>
        </is>
      </c>
      <c r="B80" s="1370">
        <f>IF($B$44=0,0,IFERROR(INDEX('6_교육청_교육공무직'!$A$1:$BB$300,$B$44,$B$36),0))+IF($B$45=0,0,IFERROR(INDEX('6_교육청_교육공무직'!$A$1:$BB$300,$B$45,$B$36),0))+IF($B$44=0,0,IFERROR(INDEX('6_교육청_교육공무직'!$A$1:$BB$300,$B$44,$B$38),0))+IF($B$45=0,0,IFERROR(INDEX('6_교육청_교육공무직'!$A$1:$BB$300,$B$45,$B$38),0))</f>
        <v/>
      </c>
      <c r="C80" s="1360" t="inlineStr">
        <is>
          <t>소득세 + 중도정산소득세</t>
        </is>
      </c>
    </row>
    <row r="81">
      <c r="A81" s="1360" t="inlineStr">
        <is>
          <t>교육청 기타4 지방소득세</t>
        </is>
      </c>
      <c r="B81" s="1370">
        <f>IF($B$44=0,0,IFERROR(INDEX('6_교육청_교육공무직'!$A$1:$BB$300,$B$44,$B$37),0))+IF($B$45=0,0,IFERROR(INDEX('6_교육청_교육공무직'!$A$1:$BB$300,$B$45,$B$37),0))+IF($B$44=0,0,IFERROR(INDEX('6_교육청_교육공무직'!$A$1:$BB$300,$B$44,$B$39),0))+IF($B$45=0,0,IFERROR(INDEX('6_교육청_교육공무직'!$A$1:$BB$300,$B$45,$B$39),0))</f>
        <v/>
      </c>
      <c r="C81" s="1360" t="inlineStr">
        <is>
          <t>지방소득세 + 중도정산분</t>
        </is>
      </c>
    </row>
    <row r="82">
      <c r="A82" s="1360" t="inlineStr">
        <is>
          <t>교육청 기타4 건강+장기</t>
        </is>
      </c>
      <c r="B82" s="1370">
        <f>IF(OR($B$44=0,$B$40=0),0,SUM(OFFSET('6_교육청_교육공무직'!$A$1,$B$44-1,$B$40-1,1,MAX(1,$B$41-$B$40))))+IF(OR($B$45=0,$B$40=0),0,SUM(OFFSET('6_교육청_교육공무직'!$A$1,$B$45-1,$B$40-1,1,MAX(1,$B$41-$B$40))))</f>
        <v/>
      </c>
      <c r="C82" s="1360" t="inlineStr">
        <is>
          <t>건강·장기 및 퇴직/휴직정산 전부</t>
        </is>
      </c>
    </row>
    <row r="83">
      <c r="A83" s="1360" t="inlineStr">
        <is>
          <t>교육청 기타4 국민연금</t>
        </is>
      </c>
      <c r="B83" s="1370">
        <f>IF(OR($B$44=0,$B$41=0),0,SUM(OFFSET('6_교육청_교육공무직'!$A$1,$B$44-1,$B$41-1,1,MAX(1,$B$42-$B$41))))+IF(OR($B$45=0,$B$41=0),0,SUM(OFFSET('6_교육청_교육공무직'!$A$1,$B$45-1,$B$41-1,1,MAX(1,$B$42-$B$41))))</f>
        <v/>
      </c>
      <c r="C83" s="1360" t="inlineStr">
        <is>
          <t>국민연금(정산 포함)</t>
        </is>
      </c>
    </row>
    <row r="84">
      <c r="A84" s="1360" t="inlineStr">
        <is>
          <t>교육청 기타4 고용보험</t>
        </is>
      </c>
      <c r="B84" s="1370">
        <f>IF(OR($B$44=0,$B$42=0),0,SUM(OFFSET('6_교육청_교육공무직'!$A$1,$B$44-1,$B$42-1,1,MAX(1,$B$43-$B$42))))+IF(OR($B$45=0,$B$42=0),0,SUM(OFFSET('6_교육청_교육공무직'!$A$1,$B$45-1,$B$42-1,1,MAX(1,$B$43-$B$42))))</f>
        <v/>
      </c>
      <c r="C84" s="1360" t="inlineStr">
        <is>
          <t>고용보험(퇴직정산 포함)</t>
        </is>
      </c>
    </row>
    <row r="85">
      <c r="A85" s="1360" t="inlineStr">
        <is>
          <t>교육청 기타4 개인 합계</t>
        </is>
      </c>
      <c r="B85" s="1370">
        <f>IF($B$44=0,0,IFERROR(INDEX('6_교육청_교육공무직'!$A$1:$BB$300,$B$44,$B$43),0))+IF($B$45=0,0,IFERROR(INDEX('6_교육청_교육공무직'!$A$1:$BB$300,$B$45,$B$43),0))</f>
        <v/>
      </c>
      <c r="C85" s="1360" t="inlineStr">
        <is>
          <t>개인부담금 지급내역 합계</t>
        </is>
      </c>
    </row>
  </sheetData>
  <mergeCells count="1">
    <mergeCell ref="A1:C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2026-09-15T05:55:45Z</dcterms:created>
  <dcterms:modified xmlns:dcterms="http://purl.org/dc/terms/" xmlns:xsi="http://www.w3.org/2001/XMLSchema-instance" xsi:type="dcterms:W3CDTF">2026-09-15T05:55:46Z</dcterms:modified>
</cp:coreProperties>
</file>